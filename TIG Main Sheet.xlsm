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nny\Desktop\Tig\"/>
    </mc:Choice>
  </mc:AlternateContent>
  <xr:revisionPtr revIDLastSave="0" documentId="13_ncr:1_{B675052B-C6AB-43B0-AB86-6966A8088325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Order Sheets" sheetId="1" r:id="rId1"/>
    <sheet name="Main Products" sheetId="2" r:id="rId2"/>
  </sheets>
  <definedNames>
    <definedName name="ExternalData_1" localSheetId="1" hidden="1">'Main Products'!$A$1:$S$151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D4" i="1"/>
  <c r="E4" i="1" s="1"/>
  <c r="F4" i="1"/>
  <c r="G4" i="1" s="1" a="1"/>
  <c r="G4" i="1" s="1"/>
  <c r="L16" i="1"/>
  <c r="F49" i="1"/>
  <c r="G49" i="1" s="1" a="1"/>
  <c r="G49" i="1" s="1"/>
  <c r="F61" i="1"/>
  <c r="G61" i="1" s="1" a="1"/>
  <c r="G61" i="1" s="1"/>
  <c r="F52" i="1"/>
  <c r="G52" i="1" s="1" a="1"/>
  <c r="G52" i="1" s="1"/>
  <c r="F54" i="1"/>
  <c r="G54" i="1" s="1" a="1"/>
  <c r="G54" i="1" s="1"/>
  <c r="F56" i="1"/>
  <c r="G56" i="1" s="1" a="1"/>
  <c r="G56" i="1" s="1"/>
  <c r="F57" i="1"/>
  <c r="G57" i="1" s="1" a="1"/>
  <c r="G57" i="1" s="1"/>
  <c r="F55" i="1"/>
  <c r="G55" i="1" s="1" a="1"/>
  <c r="G55" i="1" s="1"/>
  <c r="F58" i="1"/>
  <c r="G58" i="1" s="1" a="1"/>
  <c r="G58" i="1" s="1"/>
  <c r="F62" i="1"/>
  <c r="G62" i="1" s="1" a="1"/>
  <c r="G62" i="1" s="1"/>
  <c r="F63" i="1"/>
  <c r="G63" i="1" s="1" a="1"/>
  <c r="G63" i="1" s="1"/>
  <c r="F64" i="1"/>
  <c r="G64" i="1" s="1" a="1"/>
  <c r="G64" i="1" s="1"/>
  <c r="F65" i="1"/>
  <c r="G65" i="1" s="1" a="1"/>
  <c r="G65" i="1" s="1"/>
  <c r="F84" i="1"/>
  <c r="G84" i="1" s="1" a="1"/>
  <c r="G84" i="1" s="1"/>
  <c r="F73" i="1"/>
  <c r="G73" i="1" s="1" a="1"/>
  <c r="G73" i="1" s="1"/>
  <c r="F45" i="1"/>
  <c r="G45" i="1" s="1" a="1"/>
  <c r="G45" i="1" s="1"/>
  <c r="F50" i="1"/>
  <c r="G50" i="1" s="1" a="1"/>
  <c r="G50" i="1" s="1"/>
  <c r="F51" i="1"/>
  <c r="G51" i="1" s="1" a="1"/>
  <c r="G51" i="1" s="1"/>
  <c r="F53" i="1"/>
  <c r="G53" i="1" s="1" a="1"/>
  <c r="G53" i="1" s="1"/>
  <c r="F89" i="1"/>
  <c r="G89" i="1" s="1" a="1"/>
  <c r="G89" i="1" s="1"/>
  <c r="F90" i="1"/>
  <c r="G90" i="1" s="1" a="1"/>
  <c r="G90" i="1" s="1"/>
  <c r="F91" i="1"/>
  <c r="G91" i="1" s="1" a="1"/>
  <c r="G91" i="1" s="1"/>
  <c r="F66" i="1"/>
  <c r="G66" i="1" s="1" a="1"/>
  <c r="G66" i="1" s="1"/>
  <c r="F10" i="1"/>
  <c r="G10" i="1" s="1" a="1"/>
  <c r="G10" i="1" s="1"/>
  <c r="F25" i="1"/>
  <c r="G25" i="1" s="1" a="1"/>
  <c r="G25" i="1" s="1"/>
  <c r="F31" i="1"/>
  <c r="G31" i="1" s="1" a="1"/>
  <c r="G31" i="1" s="1"/>
  <c r="F33" i="1"/>
  <c r="G33" i="1" s="1" a="1"/>
  <c r="G33" i="1" s="1"/>
  <c r="F34" i="1"/>
  <c r="G34" i="1" s="1" a="1"/>
  <c r="G34" i="1" s="1"/>
  <c r="F35" i="1"/>
  <c r="G35" i="1" s="1" a="1"/>
  <c r="G35" i="1" s="1"/>
  <c r="F69" i="1"/>
  <c r="G69" i="1" s="1" a="1"/>
  <c r="G69" i="1" s="1"/>
  <c r="F44" i="1"/>
  <c r="G44" i="1" s="1" a="1"/>
  <c r="G44" i="1" s="1"/>
  <c r="F59" i="1"/>
  <c r="G59" i="1" s="1" a="1"/>
  <c r="G59" i="1" s="1"/>
  <c r="F86" i="1"/>
  <c r="G86" i="1" s="1" a="1"/>
  <c r="G86" i="1" s="1"/>
  <c r="F5" i="1"/>
  <c r="G5" i="1" s="1" a="1"/>
  <c r="G5" i="1" s="1"/>
  <c r="F72" i="1"/>
  <c r="G72" i="1" s="1" a="1"/>
  <c r="G72" i="1" s="1"/>
  <c r="F29" i="1"/>
  <c r="G29" i="1" s="1" a="1"/>
  <c r="G29" i="1" s="1"/>
  <c r="F60" i="1"/>
  <c r="G60" i="1" s="1" a="1"/>
  <c r="G60" i="1" s="1"/>
  <c r="F79" i="1"/>
  <c r="G79" i="1" s="1" a="1"/>
  <c r="G79" i="1" s="1"/>
  <c r="F93" i="1"/>
  <c r="G93" i="1" s="1" a="1"/>
  <c r="G93" i="1" s="1"/>
  <c r="F17" i="1"/>
  <c r="G17" i="1" s="1" a="1"/>
  <c r="G17" i="1" s="1"/>
  <c r="F18" i="1"/>
  <c r="G18" i="1" s="1" a="1"/>
  <c r="G18" i="1" s="1"/>
  <c r="F23" i="1"/>
  <c r="G23" i="1" s="1" a="1"/>
  <c r="G23" i="1" s="1"/>
  <c r="F30" i="1"/>
  <c r="G30" i="1" s="1" a="1"/>
  <c r="G30" i="1" s="1"/>
  <c r="F48" i="1"/>
  <c r="G48" i="1" s="1" a="1"/>
  <c r="G48" i="1" s="1"/>
  <c r="F27" i="1"/>
  <c r="G27" i="1" s="1" a="1"/>
  <c r="G27" i="1" s="1"/>
  <c r="F20" i="1"/>
  <c r="G20" i="1" s="1" a="1"/>
  <c r="G20" i="1" s="1"/>
  <c r="F32" i="1"/>
  <c r="G32" i="1" s="1" a="1"/>
  <c r="G32" i="1" s="1"/>
  <c r="F82" i="1"/>
  <c r="G82" i="1" s="1" a="1"/>
  <c r="G82" i="1" s="1"/>
  <c r="F22" i="1"/>
  <c r="G22" i="1" s="1" a="1"/>
  <c r="G22" i="1" s="1"/>
  <c r="F74" i="1"/>
  <c r="G74" i="1" s="1" a="1"/>
  <c r="G74" i="1" s="1"/>
  <c r="F42" i="1"/>
  <c r="G42" i="1" s="1" a="1"/>
  <c r="G42" i="1" s="1"/>
  <c r="F43" i="1"/>
  <c r="G43" i="1" s="1" a="1"/>
  <c r="G43" i="1" s="1"/>
  <c r="F81" i="1"/>
  <c r="G81" i="1" s="1" a="1"/>
  <c r="G81" i="1" s="1"/>
  <c r="F24" i="1"/>
  <c r="G24" i="1" s="1" a="1"/>
  <c r="G24" i="1" s="1"/>
  <c r="F11" i="1"/>
  <c r="G11" i="1" s="1" a="1"/>
  <c r="G11" i="1" s="1"/>
  <c r="F70" i="1"/>
  <c r="G70" i="1" s="1" a="1"/>
  <c r="G70" i="1" s="1"/>
  <c r="F7" i="1"/>
  <c r="G7" i="1" s="1" a="1"/>
  <c r="G7" i="1" s="1"/>
  <c r="F8" i="1"/>
  <c r="G8" i="1" s="1" a="1"/>
  <c r="G8" i="1" s="1"/>
  <c r="F9" i="1"/>
  <c r="G9" i="1" s="1" a="1"/>
  <c r="G9" i="1" s="1"/>
  <c r="F26" i="1"/>
  <c r="G26" i="1" s="1" a="1"/>
  <c r="G26" i="1" s="1"/>
  <c r="F67" i="1"/>
  <c r="G67" i="1" s="1" a="1"/>
  <c r="G67" i="1" s="1"/>
  <c r="F68" i="1"/>
  <c r="G68" i="1" s="1" a="1"/>
  <c r="G68" i="1" s="1"/>
  <c r="F75" i="1"/>
  <c r="G75" i="1" s="1" a="1"/>
  <c r="G75" i="1" s="1"/>
  <c r="F78" i="1"/>
  <c r="G78" i="1" s="1" a="1"/>
  <c r="G78" i="1" s="1"/>
  <c r="F83" i="1"/>
  <c r="G83" i="1" s="1" a="1"/>
  <c r="G83" i="1" s="1"/>
  <c r="F87" i="1"/>
  <c r="G87" i="1" s="1" a="1"/>
  <c r="G87" i="1" s="1"/>
  <c r="F92" i="1"/>
  <c r="G92" i="1" s="1" a="1"/>
  <c r="G92" i="1" s="1"/>
  <c r="F71" i="1"/>
  <c r="G71" i="1" s="1" a="1"/>
  <c r="G71" i="1" s="1"/>
  <c r="F6" i="1"/>
  <c r="G6" i="1" s="1" a="1"/>
  <c r="G6" i="1" s="1"/>
  <c r="F15" i="1"/>
  <c r="G15" i="1" s="1" a="1"/>
  <c r="G15" i="1" s="1"/>
  <c r="F19" i="1"/>
  <c r="G19" i="1" s="1" a="1"/>
  <c r="G19" i="1" s="1"/>
  <c r="F36" i="1"/>
  <c r="G36" i="1" s="1" a="1"/>
  <c r="G36" i="1" s="1"/>
  <c r="F37" i="1"/>
  <c r="G37" i="1" s="1" a="1"/>
  <c r="G37" i="1" s="1"/>
  <c r="F38" i="1"/>
  <c r="G38" i="1" s="1" a="1"/>
  <c r="G38" i="1" s="1"/>
  <c r="F39" i="1"/>
  <c r="G39" i="1" s="1" a="1"/>
  <c r="G39" i="1" s="1"/>
  <c r="F88" i="1"/>
  <c r="G88" i="1" s="1" a="1"/>
  <c r="G88" i="1" s="1"/>
  <c r="F21" i="1"/>
  <c r="G21" i="1" s="1" a="1"/>
  <c r="G21" i="1" s="1"/>
  <c r="F80" i="1"/>
  <c r="G80" i="1" s="1" a="1"/>
  <c r="G80" i="1" s="1"/>
  <c r="F12" i="1"/>
  <c r="G12" i="1" s="1" a="1"/>
  <c r="G12" i="1" s="1"/>
  <c r="F40" i="1"/>
  <c r="G40" i="1" s="1" a="1"/>
  <c r="G40" i="1" s="1"/>
  <c r="F41" i="1"/>
  <c r="G41" i="1" s="1" a="1"/>
  <c r="G41" i="1" s="1"/>
  <c r="F14" i="1"/>
  <c r="G14" i="1" s="1" a="1"/>
  <c r="G14" i="1" s="1"/>
  <c r="F94" i="1"/>
  <c r="G94" i="1" s="1" a="1"/>
  <c r="G94" i="1" s="1"/>
  <c r="F76" i="1"/>
  <c r="G76" i="1" s="1" a="1"/>
  <c r="G76" i="1" s="1"/>
  <c r="F77" i="1"/>
  <c r="G77" i="1" s="1" a="1"/>
  <c r="G77" i="1" s="1"/>
  <c r="F85" i="1"/>
  <c r="G85" i="1" s="1" a="1"/>
  <c r="G85" i="1" s="1"/>
  <c r="F13" i="1"/>
  <c r="G13" i="1" s="1" a="1"/>
  <c r="G13" i="1" s="1"/>
  <c r="F28" i="1"/>
  <c r="G28" i="1" s="1" a="1"/>
  <c r="G28" i="1" s="1"/>
  <c r="F47" i="1"/>
  <c r="G47" i="1" s="1" a="1"/>
  <c r="G47" i="1" s="1"/>
  <c r="F46" i="1"/>
  <c r="G46" i="1" s="1" a="1"/>
  <c r="G46" i="1" s="1"/>
  <c r="F16" i="1"/>
  <c r="G16" i="1" s="1" a="1"/>
  <c r="G16" i="1" s="1"/>
  <c r="B66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3" i="1"/>
  <c r="B82" i="1"/>
  <c r="B84" i="1"/>
  <c r="B85" i="1"/>
  <c r="B86" i="1"/>
  <c r="B87" i="1"/>
  <c r="B88" i="1"/>
  <c r="B89" i="1"/>
  <c r="B90" i="1"/>
  <c r="B91" i="1"/>
  <c r="B92" i="1"/>
  <c r="B93" i="1"/>
  <c r="B94" i="1"/>
  <c r="B47" i="1"/>
  <c r="D66" i="1"/>
  <c r="E66" i="1" s="1"/>
  <c r="D5" i="1"/>
  <c r="E5" i="1" s="1"/>
  <c r="D6" i="1"/>
  <c r="E6" i="1" s="1"/>
  <c r="D7" i="1"/>
  <c r="E7" i="1" s="1"/>
  <c r="I7" i="1" s="1"/>
  <c r="D8" i="1"/>
  <c r="E8" i="1" s="1"/>
  <c r="I8" i="1" s="1"/>
  <c r="D9" i="1"/>
  <c r="E9" i="1" s="1"/>
  <c r="I9" i="1" s="1"/>
  <c r="D10" i="1"/>
  <c r="E10" i="1" s="1"/>
  <c r="I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I20" i="1" s="1"/>
  <c r="D21" i="1"/>
  <c r="E21" i="1" s="1"/>
  <c r="D22" i="1"/>
  <c r="E22" i="1" s="1"/>
  <c r="D23" i="1"/>
  <c r="E23" i="1" s="1"/>
  <c r="D24" i="1"/>
  <c r="E24" i="1" s="1"/>
  <c r="I24" i="1" s="1"/>
  <c r="D25" i="1"/>
  <c r="E25" i="1" s="1"/>
  <c r="D26" i="1"/>
  <c r="E26" i="1" s="1"/>
  <c r="I26" i="1" s="1"/>
  <c r="D27" i="1"/>
  <c r="E27" i="1" s="1"/>
  <c r="I27" i="1" s="1"/>
  <c r="D28" i="1"/>
  <c r="E28" i="1" s="1"/>
  <c r="D29" i="1"/>
  <c r="E29" i="1" s="1"/>
  <c r="D30" i="1"/>
  <c r="E30" i="1" s="1"/>
  <c r="D31" i="1"/>
  <c r="E31" i="1" s="1"/>
  <c r="D32" i="1"/>
  <c r="E32" i="1" s="1"/>
  <c r="D33" i="1"/>
  <c r="E33" i="1" s="1"/>
  <c r="I33" i="1" s="1"/>
  <c r="D34" i="1"/>
  <c r="E34" i="1" s="1"/>
  <c r="I34" i="1" s="1"/>
  <c r="D35" i="1"/>
  <c r="E35" i="1" s="1"/>
  <c r="I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2" i="1"/>
  <c r="E42" i="1" s="1"/>
  <c r="D43" i="1"/>
  <c r="E43" i="1" s="1"/>
  <c r="D44" i="1"/>
  <c r="E44" i="1" s="1"/>
  <c r="D45" i="1"/>
  <c r="E45" i="1" s="1"/>
  <c r="D46" i="1"/>
  <c r="E46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I55" i="1" s="1"/>
  <c r="D56" i="1"/>
  <c r="E56" i="1" s="1"/>
  <c r="D57" i="1"/>
  <c r="E57" i="1" s="1"/>
  <c r="D58" i="1"/>
  <c r="E58" i="1" s="1"/>
  <c r="D59" i="1"/>
  <c r="E59" i="1" s="1"/>
  <c r="I59" i="1" s="1"/>
  <c r="D60" i="1"/>
  <c r="E60" i="1" s="1"/>
  <c r="I60" i="1" s="1"/>
  <c r="D61" i="1"/>
  <c r="E61" i="1" s="1"/>
  <c r="D62" i="1"/>
  <c r="E62" i="1" s="1"/>
  <c r="I62" i="1" s="1"/>
  <c r="D63" i="1"/>
  <c r="E63" i="1" s="1"/>
  <c r="D64" i="1"/>
  <c r="E64" i="1" s="1"/>
  <c r="D65" i="1"/>
  <c r="E65" i="1" s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I74" i="1" s="1"/>
  <c r="D75" i="1"/>
  <c r="E75" i="1" s="1"/>
  <c r="I75" i="1" s="1"/>
  <c r="D76" i="1"/>
  <c r="E76" i="1" s="1"/>
  <c r="I76" i="1" s="1"/>
  <c r="D77" i="1"/>
  <c r="E77" i="1" s="1"/>
  <c r="I77" i="1" s="1"/>
  <c r="D78" i="1"/>
  <c r="E78" i="1" s="1"/>
  <c r="D79" i="1"/>
  <c r="E79" i="1" s="1"/>
  <c r="I79" i="1" s="1"/>
  <c r="D80" i="1"/>
  <c r="E80" i="1" s="1"/>
  <c r="D81" i="1"/>
  <c r="E81" i="1" s="1"/>
  <c r="I81" i="1" s="1"/>
  <c r="D83" i="1"/>
  <c r="E83" i="1" s="1"/>
  <c r="D82" i="1"/>
  <c r="E82" i="1" s="1"/>
  <c r="D84" i="1"/>
  <c r="E84" i="1" s="1"/>
  <c r="D85" i="1"/>
  <c r="E85" i="1" s="1"/>
  <c r="D86" i="1"/>
  <c r="E86" i="1" s="1"/>
  <c r="D87" i="1"/>
  <c r="E87" i="1" s="1"/>
  <c r="D88" i="1"/>
  <c r="E88" i="1" s="1"/>
  <c r="I88" i="1" s="1"/>
  <c r="D89" i="1"/>
  <c r="E89" i="1" s="1"/>
  <c r="D90" i="1"/>
  <c r="E90" i="1" s="1"/>
  <c r="D91" i="1"/>
  <c r="E91" i="1" s="1"/>
  <c r="I91" i="1" s="1"/>
  <c r="D92" i="1"/>
  <c r="E92" i="1" s="1"/>
  <c r="D93" i="1"/>
  <c r="E93" i="1" s="1"/>
  <c r="D94" i="1"/>
  <c r="E94" i="1" s="1"/>
  <c r="D47" i="1"/>
  <c r="E47" i="1" s="1"/>
  <c r="D2" i="1"/>
  <c r="I13" i="1" l="1"/>
  <c r="I49" i="1"/>
  <c r="I87" i="1"/>
  <c r="I5" i="1"/>
  <c r="I85" i="1"/>
  <c r="I69" i="1"/>
  <c r="I56" i="1"/>
  <c r="I31" i="1"/>
  <c r="I23" i="1"/>
  <c r="I84" i="1"/>
  <c r="I80" i="1"/>
  <c r="I68" i="1"/>
  <c r="I51" i="1"/>
  <c r="I38" i="1"/>
  <c r="I15" i="1"/>
  <c r="I92" i="1"/>
  <c r="I72" i="1"/>
  <c r="I63" i="1"/>
  <c r="I46" i="1"/>
  <c r="I42" i="1"/>
  <c r="I30" i="1"/>
  <c r="I14" i="1"/>
  <c r="I61" i="1"/>
  <c r="I57" i="1"/>
  <c r="I16" i="1"/>
  <c r="I12" i="1"/>
  <c r="I66" i="1"/>
  <c r="I94" i="1"/>
  <c r="I53" i="1"/>
  <c r="I44" i="1"/>
  <c r="I32" i="1"/>
  <c r="I93" i="1"/>
  <c r="I73" i="1"/>
  <c r="I39" i="1"/>
  <c r="I19" i="1"/>
  <c r="I11" i="1"/>
  <c r="I89" i="1"/>
  <c r="I64" i="1"/>
  <c r="I52" i="1"/>
  <c r="I48" i="1"/>
  <c r="I43" i="1"/>
  <c r="I22" i="1"/>
  <c r="I6" i="1"/>
  <c r="I47" i="1"/>
  <c r="I82" i="1"/>
  <c r="I71" i="1"/>
  <c r="I67" i="1"/>
  <c r="I58" i="1"/>
  <c r="I54" i="1"/>
  <c r="I50" i="1"/>
  <c r="I45" i="1"/>
  <c r="I41" i="1"/>
  <c r="I37" i="1"/>
  <c r="I29" i="1"/>
  <c r="I25" i="1"/>
  <c r="I21" i="1"/>
  <c r="I17" i="1"/>
  <c r="I18" i="1"/>
  <c r="I90" i="1"/>
  <c r="I86" i="1"/>
  <c r="I83" i="1"/>
  <c r="I78" i="1"/>
  <c r="I70" i="1"/>
  <c r="I65" i="1"/>
  <c r="I40" i="1"/>
  <c r="I36" i="1"/>
  <c r="I28" i="1"/>
  <c r="I4" i="1"/>
  <c r="J4" i="1"/>
  <c r="E2" i="1"/>
  <c r="L10" i="1" s="1"/>
  <c r="G2" i="1"/>
  <c r="L13" i="1" s="1"/>
  <c r="J62" i="1"/>
  <c r="J58" i="1"/>
  <c r="J50" i="1"/>
  <c r="J54" i="1"/>
  <c r="J90" i="1"/>
  <c r="J46" i="1"/>
  <c r="J38" i="1"/>
  <c r="J26" i="1"/>
  <c r="J14" i="1"/>
  <c r="J82" i="1"/>
  <c r="J41" i="1"/>
  <c r="J37" i="1"/>
  <c r="J29" i="1"/>
  <c r="J25" i="1"/>
  <c r="J21" i="1"/>
  <c r="J17" i="1"/>
  <c r="J78" i="1"/>
  <c r="J70" i="1"/>
  <c r="J40" i="1"/>
  <c r="J36" i="1"/>
  <c r="J28" i="1"/>
  <c r="J65" i="1"/>
  <c r="J93" i="1"/>
  <c r="J89" i="1"/>
  <c r="J64" i="1"/>
  <c r="J52" i="1"/>
  <c r="J48" i="1"/>
  <c r="J80" i="1"/>
  <c r="J68" i="1"/>
  <c r="J39" i="1"/>
  <c r="J19" i="1"/>
  <c r="J11" i="1"/>
  <c r="J63" i="1"/>
  <c r="J59" i="1"/>
  <c r="J47" i="1"/>
  <c r="J91" i="1"/>
  <c r="J71" i="1"/>
  <c r="J67" i="1"/>
  <c r="J12" i="1"/>
  <c r="J86" i="1"/>
  <c r="J49" i="1"/>
  <c r="J81" i="1"/>
  <c r="J77" i="1"/>
  <c r="J60" i="1"/>
  <c r="J56" i="1"/>
  <c r="J27" i="1"/>
  <c r="J84" i="1"/>
  <c r="J51" i="1"/>
  <c r="J18" i="1"/>
  <c r="J87" i="1"/>
  <c r="J79" i="1"/>
  <c r="J5" i="1"/>
  <c r="J61" i="1"/>
  <c r="J57" i="1"/>
  <c r="J53" i="1"/>
  <c r="J24" i="1"/>
  <c r="J20" i="1"/>
  <c r="J8" i="1"/>
  <c r="J74" i="1"/>
  <c r="J85" i="1"/>
  <c r="J73" i="1"/>
  <c r="J69" i="1"/>
  <c r="J31" i="1"/>
  <c r="J23" i="1"/>
  <c r="J15" i="1"/>
  <c r="J66" i="1"/>
  <c r="J92" i="1"/>
  <c r="J72" i="1"/>
  <c r="J55" i="1"/>
  <c r="J42" i="1"/>
  <c r="J30" i="1"/>
  <c r="J75" i="1"/>
  <c r="J45" i="1"/>
  <c r="J33" i="1"/>
  <c r="J13" i="1"/>
  <c r="J9" i="1"/>
  <c r="J6" i="1"/>
  <c r="J83" i="1"/>
  <c r="J7" i="1"/>
  <c r="J35" i="1"/>
  <c r="J94" i="1"/>
  <c r="J44" i="1"/>
  <c r="J32" i="1"/>
  <c r="J16" i="1"/>
  <c r="J76" i="1"/>
  <c r="J88" i="1"/>
  <c r="J43" i="1"/>
  <c r="J34" i="1"/>
  <c r="F2" i="1"/>
  <c r="J10" i="1" l="1"/>
  <c r="L19" i="1"/>
  <c r="J22" i="1" l="1"/>
  <c r="J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2556294-0316-4C10-9D8A-5F09CF6BE042}" keepAlive="1" interval="60" name="Query - Table 0" description="Connection to the 'Table 0' query in the workbook." type="5" refreshedVersion="8" background="1" refreshOnLoad="1" saveData="1">
    <dbPr connection="Provider=Microsoft.Mashup.OleDb.1;Data Source=$Workbook$;Location=&quot;Table 0&quot;;Extended Properties=&quot;&quot;" command="SELECT * FROM [Table 0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<sst xmlns="http://schemas.openxmlformats.org/spreadsheetml/2006/main" count="1554" uniqueCount="471">
  <si>
    <t>Product Name</t>
  </si>
  <si>
    <t>SKU</t>
  </si>
  <si>
    <t>Order Quantity</t>
  </si>
  <si>
    <t>Cost of 1 Pack</t>
  </si>
  <si>
    <t>Shipping Cost</t>
  </si>
  <si>
    <t>5 Star 10rs</t>
  </si>
  <si>
    <t>5 Star 5rs</t>
  </si>
  <si>
    <t>Alpenliebe - POP</t>
  </si>
  <si>
    <t>Alpenliebe-Butter Toffee</t>
  </si>
  <si>
    <t>Alpenliebe-Gold Strawberry toffee</t>
  </si>
  <si>
    <t>Alpenliebe-Gold Toffee</t>
  </si>
  <si>
    <t>A-One Chulbuli Imli</t>
  </si>
  <si>
    <t>Big Babool</t>
  </si>
  <si>
    <t>‎Bingo! Mad Angles -Achari Masti 10rs</t>
  </si>
  <si>
    <t>‎Bingo! Mad Angles -Achari Masti 5rs</t>
  </si>
  <si>
    <t>‎Bingo! Mad Angles -Tomato Madness 10 Rs</t>
  </si>
  <si>
    <t>‎Bingo! Mad Angles -Tomato Madness 5 Rs</t>
  </si>
  <si>
    <t>Black Mango Aampapad</t>
  </si>
  <si>
    <t>BOOMER Chewing Gum</t>
  </si>
  <si>
    <t>Center Fresh</t>
  </si>
  <si>
    <t>Center Fresh Mint</t>
  </si>
  <si>
    <t>Center Fruit</t>
  </si>
  <si>
    <t>Choclairs</t>
  </si>
  <si>
    <t>Cintu Luv Paan</t>
  </si>
  <si>
    <t>Cintu-KOKO Heartz Candies</t>
  </si>
  <si>
    <t>Cintu-Pan Rasiya Candies</t>
  </si>
  <si>
    <t>Cocon - Jelly</t>
  </si>
  <si>
    <t>Coffy Bite</t>
  </si>
  <si>
    <t>Crax 10rs</t>
  </si>
  <si>
    <t>Crax 5rs</t>
  </si>
  <si>
    <t>Crax-Natkhat</t>
  </si>
  <si>
    <t>Desi Pops</t>
  </si>
  <si>
    <t>Dollor Coin Choclate</t>
  </si>
  <si>
    <t>eemli Roll</t>
  </si>
  <si>
    <t>GeeF-Magic Pops Grape</t>
  </si>
  <si>
    <t>GeeF-Magic Pops Lychee</t>
  </si>
  <si>
    <t>GeeF-Magic Pops Orange</t>
  </si>
  <si>
    <t>Gems</t>
  </si>
  <si>
    <t>Guru Chela</t>
  </si>
  <si>
    <t>Haldiram's Snac lite-Fun Fingers</t>
  </si>
  <si>
    <t>Haldiram's Snac lite-Fun fries</t>
  </si>
  <si>
    <t>Haldiram's Snac lite-fun wheels</t>
  </si>
  <si>
    <t>Happydent Wave</t>
  </si>
  <si>
    <t>Happydent White Mint</t>
  </si>
  <si>
    <t>HartBeat Carazon Candy Mix Fruit</t>
  </si>
  <si>
    <t>HartBeat Carazon Love Candy</t>
  </si>
  <si>
    <t>Hungry Harvest</t>
  </si>
  <si>
    <t>Imli Laddu</t>
  </si>
  <si>
    <t>Jalani-Jaljira</t>
  </si>
  <si>
    <t>Jalani-Pudina Aam Panna</t>
  </si>
  <si>
    <t>Khatori Jar</t>
  </si>
  <si>
    <t>Lachpach Ajwain Pachak</t>
  </si>
  <si>
    <t>Lachpach Anardana Goli</t>
  </si>
  <si>
    <t>Lachpach Harde Special</t>
  </si>
  <si>
    <t>Lachpach Hazma Hazam Special</t>
  </si>
  <si>
    <t>Lachpach Hing Peda</t>
  </si>
  <si>
    <t>Lachpach Imli Boota</t>
  </si>
  <si>
    <t>Lachpach Khattam Meetha Chhuhara</t>
  </si>
  <si>
    <t>Lachpach Kishmish Pachak</t>
  </si>
  <si>
    <t>Lachpach Pudina Laddu</t>
  </si>
  <si>
    <t>Lapchap Khatta-Mittha Aampak 100gm</t>
  </si>
  <si>
    <t>Lotte Caramel Lolipops</t>
  </si>
  <si>
    <t>Maggie Masala</t>
  </si>
  <si>
    <t>Manchali Imli</t>
  </si>
  <si>
    <t>Manpasand Chennai Saunf Green</t>
  </si>
  <si>
    <t>Manpasand Marwadi Saunf</t>
  </si>
  <si>
    <t>Manpasand Saunf Green Special</t>
  </si>
  <si>
    <t>Manpasand-Blue barry</t>
  </si>
  <si>
    <t>Meeras Khatori Khatta</t>
  </si>
  <si>
    <t>Meeras Khattam Khatta</t>
  </si>
  <si>
    <t>Munch 10 Rs</t>
  </si>
  <si>
    <t>Munch 5 Rs</t>
  </si>
  <si>
    <t>Natkhat Masala Wheat Puffs</t>
  </si>
  <si>
    <t>Nestle Milky Bar 10 Rs</t>
  </si>
  <si>
    <t>Nestle Milky Bar 20 Rs</t>
  </si>
  <si>
    <t>Nestle-Polo Mint</t>
  </si>
  <si>
    <t>Parle Kismi Toffee</t>
  </si>
  <si>
    <t>Parle-Kacha Mango Bite</t>
  </si>
  <si>
    <t>Parle-Mango Bite</t>
  </si>
  <si>
    <t>Parle-Melody Choclaty</t>
  </si>
  <si>
    <t>Phantom Sweet Cigarettes</t>
  </si>
  <si>
    <t>Poppins</t>
  </si>
  <si>
    <t>Pulse Candy</t>
  </si>
  <si>
    <t>Rajnigandha Silver Pearls 10 rs</t>
  </si>
  <si>
    <t>Ram Laddu</t>
  </si>
  <si>
    <t>Rinkas Anardana</t>
  </si>
  <si>
    <t>Rinkas Chand Sitare</t>
  </si>
  <si>
    <t>Rinkas Chatmola</t>
  </si>
  <si>
    <t>Silver Pearls 1rs</t>
  </si>
  <si>
    <t>Sugar Candy Masala</t>
  </si>
  <si>
    <t>Sugar Candy Orange</t>
  </si>
  <si>
    <t>Sugar Candy Pan</t>
  </si>
  <si>
    <t>Tedhe Medhe</t>
  </si>
  <si>
    <t>Tic Tac</t>
  </si>
  <si>
    <t>Wrigley's Orbit</t>
  </si>
  <si>
    <t>Main SKU</t>
  </si>
  <si>
    <t>Brand</t>
  </si>
  <si>
    <t>Manufacturer</t>
  </si>
  <si>
    <t>Quantity in Pack</t>
  </si>
  <si>
    <t>HS Code</t>
  </si>
  <si>
    <t>Cost in INR(PacK)</t>
  </si>
  <si>
    <t>Cost In INR (Unit)</t>
  </si>
  <si>
    <t>Fragile</t>
  </si>
  <si>
    <t>Weight of Pack (in gms)</t>
  </si>
  <si>
    <t>Weight per Unit(in gms)</t>
  </si>
  <si>
    <t>Width(in mm)</t>
  </si>
  <si>
    <t>Height(in mm)</t>
  </si>
  <si>
    <t>FSSAI Lic No.</t>
  </si>
  <si>
    <t>UPC/EAN</t>
  </si>
  <si>
    <t>HAZMAT Required</t>
  </si>
  <si>
    <t>Temperature Sensitive</t>
  </si>
  <si>
    <t>Special Packaging Required</t>
  </si>
  <si>
    <t>IG-10FSTAR</t>
  </si>
  <si>
    <t>Cadbury</t>
  </si>
  <si>
    <t>No</t>
  </si>
  <si>
    <t>IG-5FSTAR</t>
  </si>
  <si>
    <t>Aam Modak Tablets</t>
  </si>
  <si>
    <t>IG-NAMT</t>
  </si>
  <si>
    <t>Nagad Narayan</t>
  </si>
  <si>
    <t>Nagad Narayan Agro Foods</t>
  </si>
  <si>
    <t>Aam Pachak</t>
  </si>
  <si>
    <t>IG-AAMPACHK</t>
  </si>
  <si>
    <t>Bajaj</t>
  </si>
  <si>
    <t>IG-ALPLP</t>
  </si>
  <si>
    <t>Alpenliebe</t>
  </si>
  <si>
    <t>Perfetti Van Melle India Pvt Ltd</t>
  </si>
  <si>
    <t>Yes</t>
  </si>
  <si>
    <t>IG-ALPCRM</t>
  </si>
  <si>
    <t>IG-ALPGW</t>
  </si>
  <si>
    <t>IG-ALPGOLD</t>
  </si>
  <si>
    <t>IG-CHULIMLI</t>
  </si>
  <si>
    <t>A-One</t>
  </si>
  <si>
    <t>A-one nuts and edibles pvt ltd</t>
  </si>
  <si>
    <t>Banarsi Kaccha Aam</t>
  </si>
  <si>
    <t>IG-BKM</t>
  </si>
  <si>
    <t>Champko</t>
  </si>
  <si>
    <t>Polo Sweets</t>
  </si>
  <si>
    <t>IG-BGBUL</t>
  </si>
  <si>
    <t>Perfitti</t>
  </si>
  <si>
    <t>IG-10BINGOAM</t>
  </si>
  <si>
    <t>Bingo!</t>
  </si>
  <si>
    <t>ITC Ltd</t>
  </si>
  <si>
    <t>IG-5BINGOAM</t>
  </si>
  <si>
    <t>IG-10BINGOTM</t>
  </si>
  <si>
    <t>IG-5BINGOTM</t>
  </si>
  <si>
    <t>IG-BLKMNG</t>
  </si>
  <si>
    <t>Chick's</t>
  </si>
  <si>
    <t>IG-BOOMER</t>
  </si>
  <si>
    <t>Boomer</t>
  </si>
  <si>
    <t>‎Wrigley India Pvt Ltd</t>
  </si>
  <si>
    <t>Cadbury Fuse</t>
  </si>
  <si>
    <t>IG-FUSE</t>
  </si>
  <si>
    <t>IG-CTRFRSH</t>
  </si>
  <si>
    <t>IG-CTRFRSHF</t>
  </si>
  <si>
    <t>IG-CTRFM</t>
  </si>
  <si>
    <t>IG-CTRFRUT</t>
  </si>
  <si>
    <t>Center Fruit Tennis Ball</t>
  </si>
  <si>
    <t>IG-CTRFRUTB</t>
  </si>
  <si>
    <t>Center Fruit Watermelon</t>
  </si>
  <si>
    <t>IG-CTRFRUWTM</t>
  </si>
  <si>
    <t>Chaa pat</t>
  </si>
  <si>
    <t>IG-CHAAPT</t>
  </si>
  <si>
    <t>Prika's</t>
  </si>
  <si>
    <t>Chatak Matak</t>
  </si>
  <si>
    <t>IG-NCM</t>
  </si>
  <si>
    <t>Nagad Narayan Agro Ind.</t>
  </si>
  <si>
    <t>IG-CHOCLRS</t>
  </si>
  <si>
    <t>Cintu Choco Soft Eclairs</t>
  </si>
  <si>
    <t>IG-CCSECLR</t>
  </si>
  <si>
    <t>Cintu</t>
  </si>
  <si>
    <t>IG-LUVP</t>
  </si>
  <si>
    <t>Prayagh Nutri Products Pvt Ltd</t>
  </si>
  <si>
    <t>IG-KOKOHRT</t>
  </si>
  <si>
    <t>IG-PANRS</t>
  </si>
  <si>
    <t>IG-JELLY</t>
  </si>
  <si>
    <t>Cocon</t>
  </si>
  <si>
    <t>Cocon Fruit Industries</t>
  </si>
  <si>
    <t>Coconut Peda</t>
  </si>
  <si>
    <t>IG-COCOPED</t>
  </si>
  <si>
    <t>IG-COFYBT</t>
  </si>
  <si>
    <t>Lotte</t>
  </si>
  <si>
    <t>Lotte India Corporation</t>
  </si>
  <si>
    <t>Colorful Stars</t>
  </si>
  <si>
    <t>IG-COLST</t>
  </si>
  <si>
    <t>IG-5-2CRAX</t>
  </si>
  <si>
    <t>Crax</t>
  </si>
  <si>
    <t>IG-5CRAX</t>
  </si>
  <si>
    <t>IG-NTKT</t>
  </si>
  <si>
    <t>See First Letter of Batch No.</t>
  </si>
  <si>
    <t>Dairy Milk Silk Bubbly</t>
  </si>
  <si>
    <t>IG-CDMSB</t>
  </si>
  <si>
    <t>IG-DESIPOP</t>
  </si>
  <si>
    <t>Go desi</t>
  </si>
  <si>
    <t>IG-DLRCC</t>
  </si>
  <si>
    <t>Eclairs Elaichi Rich</t>
  </si>
  <si>
    <t>IG-ECLER</t>
  </si>
  <si>
    <t>AMBER</t>
  </si>
  <si>
    <t>IG-IMLIRL</t>
  </si>
  <si>
    <t>Humdum</t>
  </si>
  <si>
    <t>Humdum Food Product Grih Udyog</t>
  </si>
  <si>
    <t>europe chewing gum</t>
  </si>
  <si>
    <t>IG-ERUPCHNGM</t>
  </si>
  <si>
    <t>Europe</t>
  </si>
  <si>
    <t>Fatafat</t>
  </si>
  <si>
    <t>IG-FATAFAT</t>
  </si>
  <si>
    <t>fox's crystal clear fruit candy</t>
  </si>
  <si>
    <t>IG-FXCRYSTL</t>
  </si>
  <si>
    <t>Nestle</t>
  </si>
  <si>
    <t>FUNFLIPS Khatta Meetha</t>
  </si>
  <si>
    <t>IG-FUNFLIPSKM</t>
  </si>
  <si>
    <t>Fun Flips</t>
  </si>
  <si>
    <t>FUNFLIPS Masala</t>
  </si>
  <si>
    <t>IG-FUNFLIPSMS</t>
  </si>
  <si>
    <t>FUNFLIPS Tango</t>
  </si>
  <si>
    <t>IG-FUNFLIPSTG</t>
  </si>
  <si>
    <t>IG-MPPG</t>
  </si>
  <si>
    <t>GeeF</t>
  </si>
  <si>
    <t>Yiwudana International LTD</t>
  </si>
  <si>
    <t>IG-MPPL</t>
  </si>
  <si>
    <t>IG-MPPO</t>
  </si>
  <si>
    <t>GeeF-Magic Pops Strawberry</t>
  </si>
  <si>
    <t>IG-MPPS</t>
  </si>
  <si>
    <t>IG-CDBRYGM</t>
  </si>
  <si>
    <t>Mondelez India Food Pvt Ltd</t>
  </si>
  <si>
    <t>Gold Fish Jelly</t>
  </si>
  <si>
    <t>IG-FISHJELLY</t>
  </si>
  <si>
    <t>IG-GURUCH</t>
  </si>
  <si>
    <t>Guruchela</t>
  </si>
  <si>
    <t>HAJMOLA ANARDANA</t>
  </si>
  <si>
    <t>IG-HJMLA</t>
  </si>
  <si>
    <t>Dabur hajmola</t>
  </si>
  <si>
    <t>HAJMOLA CHAT COLA</t>
  </si>
  <si>
    <t>IG-HJMLCC</t>
  </si>
  <si>
    <t>Hajmola Imli</t>
  </si>
  <si>
    <t>IG-HJMLI</t>
  </si>
  <si>
    <t>HAJMOLA Lime</t>
  </si>
  <si>
    <t>IG-HJMLL</t>
  </si>
  <si>
    <t>Hajmola Pudina</t>
  </si>
  <si>
    <t>IG-HJMLP</t>
  </si>
  <si>
    <t>IG-SKLTFF</t>
  </si>
  <si>
    <t>Haldiram</t>
  </si>
  <si>
    <t>Haldiram Snanks Pvt Ltd</t>
  </si>
  <si>
    <t>IG-SKLTFFS</t>
  </si>
  <si>
    <t>IG-SKLTFW</t>
  </si>
  <si>
    <t>IG-HAPYWV</t>
  </si>
  <si>
    <t>Happydent</t>
  </si>
  <si>
    <t>IG-HAPYWT</t>
  </si>
  <si>
    <t>IG-HBCZM</t>
  </si>
  <si>
    <t>HartBeat</t>
  </si>
  <si>
    <t>Dugar Overseas Pvt Ltd</t>
  </si>
  <si>
    <t>IG-HBCZL</t>
  </si>
  <si>
    <t>Havai Jelly Sticks</t>
  </si>
  <si>
    <t>IG-HVIJS</t>
  </si>
  <si>
    <t>RELIVE</t>
  </si>
  <si>
    <t>Tifosi Foods Pvt Ltd</t>
  </si>
  <si>
    <t>IG-HGRYHVST</t>
  </si>
  <si>
    <t>Hunny Rick Roll</t>
  </si>
  <si>
    <t>IG-RIKROL</t>
  </si>
  <si>
    <t>Ice Breaker Mint</t>
  </si>
  <si>
    <t>IG-ICEBREAKER</t>
  </si>
  <si>
    <t>imli gola</t>
  </si>
  <si>
    <t>IG-IMLIGOLA</t>
  </si>
  <si>
    <t>IG-IMLILDU</t>
  </si>
  <si>
    <t>Jalani Nimbu Pani</t>
  </si>
  <si>
    <t>IG-JNP</t>
  </si>
  <si>
    <t>Jalani</t>
  </si>
  <si>
    <t>Jalani Enterprises Ltd</t>
  </si>
  <si>
    <t>IG-JALANIJAL</t>
  </si>
  <si>
    <t>IG-AMPNA</t>
  </si>
  <si>
    <t>Jalebi Bai Lal Juban Churan</t>
  </si>
  <si>
    <t>IG-JBLJC</t>
  </si>
  <si>
    <t>VK</t>
  </si>
  <si>
    <t>B.S. Products</t>
  </si>
  <si>
    <t>Jamun Gola</t>
  </si>
  <si>
    <t>IG-JMNGOLA</t>
  </si>
  <si>
    <t>Jamuni Jaljira</t>
  </si>
  <si>
    <t>IG-JMNJRA</t>
  </si>
  <si>
    <t>Tulsi</t>
  </si>
  <si>
    <t>H.T. Products</t>
  </si>
  <si>
    <t>Jeera Goli</t>
  </si>
  <si>
    <t>IG-JEERAG</t>
  </si>
  <si>
    <t>IG-KHTORIJ</t>
  </si>
  <si>
    <t>Khatori Khatti</t>
  </si>
  <si>
    <t>IG-PKK</t>
  </si>
  <si>
    <t>Shiv Panchwati</t>
  </si>
  <si>
    <t>IG-KFWBS</t>
  </si>
  <si>
    <t>Kravour</t>
  </si>
  <si>
    <t>Kravour Foods Pvt ltd</t>
  </si>
  <si>
    <t>Kravour Foods Wafer Biscuits Strawberry</t>
  </si>
  <si>
    <t>IG-KFWBSTB</t>
  </si>
  <si>
    <t>IG-LCHAP</t>
  </si>
  <si>
    <t>Lachpach</t>
  </si>
  <si>
    <t>IG-LCHPANRD</t>
  </si>
  <si>
    <t>IG-LCHPHRD</t>
  </si>
  <si>
    <t>FSSL 12219026000793</t>
  </si>
  <si>
    <t>IG-LCHHZMA</t>
  </si>
  <si>
    <t>IG-LCHPHP</t>
  </si>
  <si>
    <t>IG-LCHIB</t>
  </si>
  <si>
    <t>IG-LCHKMC</t>
  </si>
  <si>
    <t>IG-LCHKP</t>
  </si>
  <si>
    <t>IG-PODINAL</t>
  </si>
  <si>
    <t>Tulsani Food industries</t>
  </si>
  <si>
    <t>Tulsani Amber</t>
  </si>
  <si>
    <t>Lacto Milk Candy</t>
  </si>
  <si>
    <t>IG-LMC</t>
  </si>
  <si>
    <t>Lal Juban Churan Sticks</t>
  </si>
  <si>
    <t>IG-LBCS</t>
  </si>
  <si>
    <t>Gaurav Ji</t>
  </si>
  <si>
    <t>GK Products</t>
  </si>
  <si>
    <t>IG-LCHKMA</t>
  </si>
  <si>
    <t>IG-LCTOKNG</t>
  </si>
  <si>
    <t>‎Lotte India Corp Ltd</t>
  </si>
  <si>
    <t>IG-MAGGIEMS</t>
  </si>
  <si>
    <t>Maggi</t>
  </si>
  <si>
    <t>IG-MCHLLIMLI</t>
  </si>
  <si>
    <t>Mango Masti</t>
  </si>
  <si>
    <t>IG-MNGOMST</t>
  </si>
  <si>
    <t>Leo</t>
  </si>
  <si>
    <t>IG-MCSG</t>
  </si>
  <si>
    <t>Manpasand</t>
  </si>
  <si>
    <t>A-one Product</t>
  </si>
  <si>
    <t>IG-MPMS</t>
  </si>
  <si>
    <t>FSSL 12218026000718</t>
  </si>
  <si>
    <t>IG-MSGS</t>
  </si>
  <si>
    <t>IG-MSBLUBRY</t>
  </si>
  <si>
    <t>Manpasand-Chennai Saunf</t>
  </si>
  <si>
    <t>IG-MCS</t>
  </si>
  <si>
    <t>Marukawa Fusen Bubble Gum</t>
  </si>
  <si>
    <t>IG-MFBUBBLE</t>
  </si>
  <si>
    <t>IG-KHTRIKHTA</t>
  </si>
  <si>
    <t>Meeras</t>
  </si>
  <si>
    <t>Gauri Shankar Khatri And Sons</t>
  </si>
  <si>
    <t>IG-KHTMKHTA</t>
  </si>
  <si>
    <t>Mulberry CN Coconut Candy</t>
  </si>
  <si>
    <t>IG-MCNCC</t>
  </si>
  <si>
    <t>Mulberry</t>
  </si>
  <si>
    <t>IG-10MUNCH</t>
  </si>
  <si>
    <t>IG-5MUNCH</t>
  </si>
  <si>
    <t>Nagad Elaichi Goli</t>
  </si>
  <si>
    <t>IG-NGDEG</t>
  </si>
  <si>
    <t>Nagad Kala Khatta Goli</t>
  </si>
  <si>
    <t>IG-NKKG</t>
  </si>
  <si>
    <t>Nagad Masala Anardana Goli</t>
  </si>
  <si>
    <t>IG-NGDAG</t>
  </si>
  <si>
    <t>IG-NTKTMWP</t>
  </si>
  <si>
    <t>IG-10MILKYBR</t>
  </si>
  <si>
    <t>Nestle India Ltd</t>
  </si>
  <si>
    <t>IG-20MILKYBR</t>
  </si>
  <si>
    <t>IG-POLO</t>
  </si>
  <si>
    <t>Pan Pasand Gold</t>
  </si>
  <si>
    <t>IG-PNPSNDG</t>
  </si>
  <si>
    <t>Panjon Hajmola Candy</t>
  </si>
  <si>
    <t>IG-PNJNHJMLA</t>
  </si>
  <si>
    <t>Panjon</t>
  </si>
  <si>
    <t>Panjon MIx Fruit Candy</t>
  </si>
  <si>
    <t>IG-PNJNMIX</t>
  </si>
  <si>
    <t>Panva</t>
  </si>
  <si>
    <t>IG-PNVA</t>
  </si>
  <si>
    <t>IG-KISMI</t>
  </si>
  <si>
    <t>Parle</t>
  </si>
  <si>
    <t>Kohinoor Biscuit Products</t>
  </si>
  <si>
    <t>IG-KCHMB</t>
  </si>
  <si>
    <t>Parle Biscuits Pvt Ltd</t>
  </si>
  <si>
    <t>IG-PARMAN</t>
  </si>
  <si>
    <t>IG-PRLEMEL</t>
  </si>
  <si>
    <t>See First two Letters of Batch No.</t>
  </si>
  <si>
    <t>Pass Pass</t>
  </si>
  <si>
    <t>IG-PASSPASS</t>
  </si>
  <si>
    <t>IG-PHNTMCIG</t>
  </si>
  <si>
    <t>Podina Laddu</t>
  </si>
  <si>
    <t>IG-PDINAMODK</t>
  </si>
  <si>
    <t>IG-POPPINS</t>
  </si>
  <si>
    <t>IG-PULSE</t>
  </si>
  <si>
    <t>IG-5SLVRP</t>
  </si>
  <si>
    <t>Rajnigandha</t>
  </si>
  <si>
    <t>DS CONFECTIONERY PRODUCTS LIMITED</t>
  </si>
  <si>
    <t>Rajnigandha Silver Pearls 50 rs</t>
  </si>
  <si>
    <t>IG-50SLVRP</t>
  </si>
  <si>
    <t>IG-RL</t>
  </si>
  <si>
    <t>IG-ANDN</t>
  </si>
  <si>
    <t>Rinka's</t>
  </si>
  <si>
    <t>Anil Food Industries</t>
  </si>
  <si>
    <t>IG-CHNDS</t>
  </si>
  <si>
    <t>IG-CHATM</t>
  </si>
  <si>
    <t>Rinka's Gluco Fish Candy</t>
  </si>
  <si>
    <t>IG-RGFC</t>
  </si>
  <si>
    <t>Rinka's Pudina</t>
  </si>
  <si>
    <t>IG-RPUDINA</t>
  </si>
  <si>
    <t>Satmola Tim Tim Taare</t>
  </si>
  <si>
    <t>IG-STTT</t>
  </si>
  <si>
    <t>Satmola</t>
  </si>
  <si>
    <t>SSG Pharma Pvt Ltd.</t>
  </si>
  <si>
    <t>IG-1SLVRP</t>
  </si>
  <si>
    <t>IG-SMC</t>
  </si>
  <si>
    <t>IG-SOC</t>
  </si>
  <si>
    <t>IG-SPC</t>
  </si>
  <si>
    <t>IG-TDEMEDE</t>
  </si>
  <si>
    <t>IG-TICTAC</t>
  </si>
  <si>
    <t>Tim Tim Taare(Bottle)</t>
  </si>
  <si>
    <t>IG-TTTB</t>
  </si>
  <si>
    <t>IG-ORBIT</t>
  </si>
  <si>
    <t>Wrigley's</t>
  </si>
  <si>
    <t>Total Value</t>
  </si>
  <si>
    <t>Amber</t>
  </si>
  <si>
    <t/>
  </si>
  <si>
    <t>12217017000180</t>
  </si>
  <si>
    <t>10012042000284</t>
  </si>
  <si>
    <t>12218026000487</t>
  </si>
  <si>
    <t>12119441000101</t>
  </si>
  <si>
    <t>10012031000312</t>
  </si>
  <si>
    <t>Center Fresh Fruity Mint</t>
  </si>
  <si>
    <t>10013042001091</t>
  </si>
  <si>
    <t>10020022012003</t>
  </si>
  <si>
    <t>10012064000100</t>
  </si>
  <si>
    <t>10012013000474</t>
  </si>
  <si>
    <t>12717001000431</t>
  </si>
  <si>
    <t>12214036000060</t>
  </si>
  <si>
    <t>Kravour Foods Wafer Biscuits</t>
  </si>
  <si>
    <t>12219026000793</t>
  </si>
  <si>
    <t>12218026000718</t>
  </si>
  <si>
    <t>12218027000355</t>
  </si>
  <si>
    <t>10018013001679</t>
  </si>
  <si>
    <t>10013022002253</t>
  </si>
  <si>
    <t>10019011006679</t>
  </si>
  <si>
    <t>13319005000072</t>
  </si>
  <si>
    <t>Order Sheet</t>
  </si>
  <si>
    <t>Total W/o Frght</t>
  </si>
  <si>
    <t>Date</t>
  </si>
  <si>
    <t>Total Weight(kg)</t>
  </si>
  <si>
    <t>Taxes</t>
  </si>
  <si>
    <t>Net Cost</t>
  </si>
  <si>
    <t>Total Cost</t>
  </si>
  <si>
    <t>Dollar price</t>
  </si>
  <si>
    <t>Total Frieght</t>
  </si>
  <si>
    <t>Total Taxes</t>
  </si>
  <si>
    <t>Total</t>
  </si>
  <si>
    <t>Weight(kg)</t>
  </si>
  <si>
    <t>Shiping per kg</t>
  </si>
  <si>
    <t>Net Cost Per unit</t>
  </si>
  <si>
    <t>IG-DMSILK</t>
  </si>
  <si>
    <t>135</t>
  </si>
  <si>
    <t>110</t>
  </si>
  <si>
    <t>45</t>
  </si>
  <si>
    <t>130</t>
  </si>
  <si>
    <t>28</t>
  </si>
  <si>
    <t>20</t>
  </si>
  <si>
    <t>80</t>
  </si>
  <si>
    <t>50</t>
  </si>
  <si>
    <t>5</t>
  </si>
  <si>
    <t>155</t>
  </si>
  <si>
    <t>40</t>
  </si>
  <si>
    <t>Dairy Milk Silk</t>
  </si>
  <si>
    <t>18</t>
  </si>
  <si>
    <t>58</t>
  </si>
  <si>
    <t>15</t>
  </si>
  <si>
    <t>95</t>
  </si>
  <si>
    <t>75</t>
  </si>
  <si>
    <t>12</t>
  </si>
  <si>
    <t>55</t>
  </si>
  <si>
    <t>43</t>
  </si>
  <si>
    <t>4</t>
  </si>
  <si>
    <t>185</t>
  </si>
  <si>
    <t>145</t>
  </si>
  <si>
    <t>70</t>
  </si>
  <si>
    <t>200</t>
  </si>
  <si>
    <t>10</t>
  </si>
  <si>
    <t>48</t>
  </si>
  <si>
    <t>65</t>
  </si>
  <si>
    <t>1</t>
  </si>
  <si>
    <t>100</t>
  </si>
  <si>
    <t>Length(in mm) 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</si>
</sst>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_ [$₹-4009]\ * #,##0.00_ ;_ [$₹-4009]\ * \-#,##0.00_ ;_ [$₹-4009]\ * &quot;-&quot;??_ ;_ @_ "/>
    <numFmt numFmtId="166" formatCode="0.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9"/>
      <color theme="1"/>
      <name val="Arial Black"/>
      <family val="2"/>
    </font>
    <font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rgb="FF008080"/>
      <name val="Calibri"/>
      <family val="2"/>
    </font>
    <font>
      <b/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1" fontId="2" fillId="0" borderId="0" xfId="0" applyNumberFormat="1" applyFont="1"/>
    <xf numFmtId="165" fontId="0" fillId="0" borderId="0" xfId="0" applyNumberFormat="1"/>
    <xf numFmtId="166" fontId="0" fillId="0" borderId="0" xfId="0" applyNumberFormat="1"/>
    <xf numFmtId="0" fontId="5" fillId="0" borderId="0" xfId="0" applyFont="1"/>
    <xf numFmtId="0" fontId="5" fillId="0" borderId="0" xfId="0" applyFont="1" applyAlignment="1">
      <alignment horizontal="center" vertical="center"/>
    </xf>
    <xf numFmtId="165" fontId="5" fillId="0" borderId="0" xfId="0" applyNumberFormat="1" applyFont="1"/>
    <xf numFmtId="14" fontId="5" fillId="0" borderId="0" xfId="0" applyNumberFormat="1" applyFont="1" applyAlignment="1">
      <alignment horizontal="center" vertical="center"/>
    </xf>
    <xf numFmtId="2" fontId="5" fillId="0" borderId="0" xfId="0" applyNumberFormat="1" applyFont="1"/>
    <xf numFmtId="0" fontId="0" fillId="0" borderId="0" xfId="0" applyAlignment="1">
      <alignment horizontal="left" vertical="top"/>
    </xf>
    <xf numFmtId="0" fontId="5" fillId="0" borderId="0" xfId="0" applyFont="1" applyAlignment="1">
      <alignment horizontal="left" vertical="top"/>
    </xf>
    <xf numFmtId="164" fontId="5" fillId="0" borderId="0" xfId="1" applyFont="1" applyAlignment="1">
      <alignment horizontal="left" vertical="top"/>
    </xf>
    <xf numFmtId="164" fontId="6" fillId="0" borderId="0" xfId="0" applyNumberFormat="1" applyFont="1" applyAlignment="1">
      <alignment horizontal="left" vertical="top"/>
    </xf>
    <xf numFmtId="2" fontId="2" fillId="0" borderId="0" xfId="0" applyNumberFormat="1" applyFont="1"/>
    <xf numFmtId="2" fontId="0" fillId="0" borderId="0" xfId="0" applyNumberFormat="1"/>
    <xf numFmtId="0" fontId="1" fillId="0" borderId="0" xfId="0" applyFont="1" applyAlignment="1">
      <alignment horizontal="right"/>
    </xf>
    <xf numFmtId="1" fontId="0" fillId="0" borderId="0" xfId="0" applyNumberFormat="1"/>
    <xf numFmtId="1" fontId="1" fillId="0" borderId="0" xfId="0" applyNumberFormat="1" applyFont="1"/>
    <xf numFmtId="2" fontId="1" fillId="0" borderId="0" xfId="0" applyNumberFormat="1" applyFont="1"/>
    <xf numFmtId="2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1" fontId="2" fillId="0" borderId="0" xfId="0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</cellXfs>
  <cellStyles count="2">
    <cellStyle name="Currency" xfId="1" builtinId="4"/>
    <cellStyle name="Normal" xfId="0" builtinId="0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Black"/>
        <family val="2"/>
        <scheme val="none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(&quot;$&quot;* #,##0.00_);_(&quot;$&quot;* \(#,##0.00\);_(&quot;$&quot;* &quot;-&quot;??_);_(@_)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numFmt numFmtId="2" formatCode="0.00"/>
      <alignment horizontal="left" vertical="top" textRotation="0" wrapText="0" indent="0" justifyLastLine="0" shrinkToFit="0" readingOrder="0"/>
    </dxf>
    <dxf>
      <numFmt numFmtId="2" formatCode="0.00"/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numFmt numFmtId="166" formatCode="0.000"/>
    </dxf>
    <dxf>
      <numFmt numFmtId="165" formatCode="_ [$₹-4009]\ * #,##0.00_ ;_ [$₹-4009]\ * \-#,##0.00_ ;_ [$₹-4009]\ * &quot;-&quot;??_ ;_ @_ "/>
    </dxf>
    <dxf>
      <numFmt numFmtId="165" formatCode="_ [$₹-4009]\ * #,##0.00_ ;_ [$₹-4009]\ * \-#,##0.00_ ;_ [$₹-4009]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20</xdr:row>
          <xdr:rowOff>180975</xdr:rowOff>
        </xdr:from>
        <xdr:to>
          <xdr:col>11</xdr:col>
          <xdr:colOff>1028700</xdr:colOff>
          <xdr:row>23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808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E7C0F152-256A-42CD-BB04-FF2C3F6B4CFD}" autoFormatId="16" applyNumberFormats="0" applyBorderFormats="0" applyFontFormats="0" applyPatternFormats="0" applyAlignmentFormats="0" applyWidthHeightFormats="0">
  <queryTableRefresh nextId="24">
    <queryTableFields count="19">
      <queryTableField id="2" name="Product Name" tableColumnId="2"/>
      <queryTableField id="1" name="Main SKU" tableColumnId="1"/>
      <queryTableField id="3" name="Brand" tableColumnId="3"/>
      <queryTableField id="4" name="Manufacturer" tableColumnId="4"/>
      <queryTableField id="5" name="Quantity in Pack" tableColumnId="5"/>
      <queryTableField id="6" name="HS Code" tableColumnId="6"/>
      <queryTableField id="7" name="Cost in INR(PacK)" tableColumnId="7"/>
      <queryTableField id="8" name="Cost In INR (Unit)" tableColumnId="8"/>
      <queryTableField id="9" name="Fragile" tableColumnId="9"/>
      <queryTableField id="10" name="Weight of Pack (in gms)" tableColumnId="10"/>
      <queryTableField id="11" name="Weight per Unit(in gms)" tableColumnId="11"/>
      <queryTableField id="12" name="Length(in mm)" tableColumnId="12"/>
      <queryTableField id="13" name="Width(in mm)" tableColumnId="13"/>
      <queryTableField id="14" name="Height(in mm)" tableColumnId="14"/>
      <queryTableField id="15" name="FSSAI Lic No." tableColumnId="15"/>
      <queryTableField id="16" name="UPC/EAN" tableColumnId="16"/>
      <queryTableField id="17" name="HAZMAT Required" tableColumnId="17"/>
      <queryTableField id="18" name="Temperature Sensitive" tableColumnId="18"/>
      <queryTableField id="19" name="Special Packaging Required" tableColumnId="19"/>
    </queryTableFields>
    <queryTableDeletedFields count="1">
      <deletedField name="Volume"/>
    </queryTableDeletedFields>
  </queryTableRefresh>
</queryTable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9AE45C-746F-4877-AC34-BE293837A735}" name="Table2" displayName="Table2" ref="A3:J94" totalsRowShown="0">
  <autoFilter ref="A3:J94" xr:uid="{A79AE45C-746F-4877-AC34-BE293837A735}"/>
  <sortState xmlns:xlrd2="http://schemas.microsoft.com/office/spreadsheetml/2017/richdata2" ref="A4:J94">
    <sortCondition ref="A3:A94"/>
  </sortState>
  <tableColumns count="10">
    <tableColumn id="1" xr3:uid="{D3138CF6-E097-453D-BAAA-A279E89BD25C}" name="Product Name"/>
    <tableColumn id="2" xr3:uid="{560A415E-65ED-4FF3-9F5E-1183A36EEBEB}" name="SKU" dataDxfId="47">
      <calculatedColumnFormula>IFERROR(VLOOKUP(Table2[[#This Row],[Product Name]],Table_0[],2,0),"")</calculatedColumnFormula>
    </tableColumn>
    <tableColumn id="3" xr3:uid="{6393219F-FB94-4179-BBF3-0B370F8D72F2}" name="Order Quantity" dataDxfId="46"/>
    <tableColumn id="4" xr3:uid="{F73BFAA4-D5B3-4AA1-BE4C-462719905CBE}" name="Cost of 1 Pack" dataDxfId="45">
      <calculatedColumnFormula>IFERROR(VLOOKUP(Table2[[#This Row],[Product Name]],Table_0[],7,0),"")</calculatedColumnFormula>
    </tableColumn>
    <tableColumn id="5" xr3:uid="{29841F80-12C0-41DE-844B-2E5789BEF18C}" name="Total Value" dataDxfId="44">
      <calculatedColumnFormula>IFERROR(Table2[[#This Row],[Order Quantity]]*Table2[[#This Row],[Cost of 1 Pack]],"")</calculatedColumnFormula>
    </tableColumn>
    <tableColumn id="7" xr3:uid="{8647F6AC-EF3B-4613-91A1-9349039F7E56}" name="Weight(kg)" dataDxfId="43">
      <calculatedColumnFormula>IFERROR((VLOOKUP(Table2[[#This Row],[Product Name]],Table_0[],10,0)/1000)*Table2[[#This Row],[Order Quantity]],"")</calculatedColumnFormula>
    </tableColumn>
    <tableColumn id="6" xr3:uid="{8FFC6F56-9AE3-45E6-BB49-4E1003298422}" name="Shipping Cost" dataDxfId="42">
      <calculatedColumnFormula array="1">Table2[[#This Row],[Weight(kg)]]*Table4[Shiping per kg]</calculatedColumnFormula>
    </tableColumn>
    <tableColumn id="8" xr3:uid="{83E41449-B067-4E8E-97BC-39D34BF60076}" name="Taxes" dataDxfId="41"/>
    <tableColumn id="10" xr3:uid="{E629C642-0B32-49E8-84B3-A9EB68EA9A18}" name="Net Cost Per unit" dataDxfId="40">
      <calculatedColumnFormula>(Table2[[#This Row],[Total Value]]/Table2[[#This Row],[Order Quantity]])+(Table2[[#This Row],[Shipping Cost]]/Table2[[#This Row],[Order Quantity]])+(Table2[[#This Row],[Taxes]]/Table2[[#This Row],[Order Quantity]])</calculatedColumnFormula>
    </tableColumn>
    <tableColumn id="9" xr3:uid="{3D04296E-F486-4407-8900-784BD0C8C970}" name="Net Cost" dataDxfId="39">
      <calculatedColumnFormula>Table2[[#This Row],[Total Value]]+Table2[[#This Row],[Shipping Cost]]+Table2[[#This Row],[Taxes]]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3D0EB6-F38C-4577-AD6C-CDA585C84A82}" name="Table3" displayName="Table3" ref="L3:L4" totalsRowShown="0" headerRowDxfId="38" dataDxfId="37">
  <tableColumns count="1">
    <tableColumn id="1" xr3:uid="{80198047-703C-4438-9B42-1C6DF3895BC3}" name="Dollar price" dataDxfId="36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1C6B63C-633C-49B3-B1F3-245B6915CA92}" name="Table4" displayName="Table4" ref="L6:L7" totalsRowShown="0" headerRowDxfId="35" dataDxfId="34">
  <tableColumns count="1">
    <tableColumn id="1" xr3:uid="{43D462EA-A6CA-4154-8411-54E029D43BCD}" name="Shiping per kg" dataDxfId="33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50E72DA-51F3-41D9-9CDD-F732CB8A74B2}" name="Table5" displayName="Table5" ref="L9:L10" totalsRowShown="0" headerRowDxfId="32" dataDxfId="31" dataCellStyle="Currency">
  <tableColumns count="1">
    <tableColumn id="1" xr3:uid="{F99E4D99-8F3A-469A-A29C-0BC6A7A5CEFB}" name="Total Cost" dataDxfId="30" dataCellStyle="Currency">
      <calculatedColumnFormula>E2/L4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6536347-F415-48B6-AAAD-E5728B4E4B38}" name="Table6" displayName="Table6" ref="L12:L13" totalsRowShown="0" headerRowDxfId="29" dataDxfId="28" dataCellStyle="Currency">
  <tableColumns count="1">
    <tableColumn id="1" xr3:uid="{AB44F016-FE04-4A7C-A5C2-E2656C930149}" name="Total Frieght" dataDxfId="27" dataCellStyle="Currency">
      <calculatedColumnFormula>G2/L4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D480B99-7E68-409B-816B-52BC65753785}" name="Table7" displayName="Table7" ref="L15:L16" totalsRowShown="0" headerRowDxfId="26" dataDxfId="25" dataCellStyle="Currency">
  <tableColumns count="1">
    <tableColumn id="1" xr3:uid="{0BD78BC6-80A3-4424-8B10-AB4E71405B36}" name="Total Taxes" dataDxfId="24" dataCellStyle="Currency">
      <calculatedColumnFormula>H2/L4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0D0BB27-8851-4E12-982C-4588F275214A}" name="Table8" displayName="Table8" ref="L18:L19" totalsRowShown="0" headerRowDxfId="23" dataDxfId="22">
  <tableColumns count="1">
    <tableColumn id="1" xr3:uid="{67E62AE8-B069-4059-9DCC-CAA98C865666}" name="Total" dataDxfId="21">
      <calculatedColumnFormula>L10+L13+L16</calculatedColumnFormula>
    </tableColumn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64F062E-192E-4213-84BC-8C33881961D9}" name="Table_0" displayName="Table_0" ref="A1:S151" tableType="queryTable" totalsRowShown="0" headerRowDxfId="20" dataDxfId="19">
  <autoFilter ref="A1:S151" xr:uid="{C64F062E-192E-4213-84BC-8C33881961D9}"/>
  <sortState xmlns:xlrd2="http://schemas.microsoft.com/office/spreadsheetml/2017/richdata2" ref="A2:S151">
    <sortCondition ref="A1:A151"/>
  </sortState>
  <tableColumns count="19">
    <tableColumn id="2" xr3:uid="{0355128A-6318-4487-8D80-FBA6062E21E4}" uniqueName="2" name="Product Name" queryTableFieldId="2" dataDxfId="18"/>
    <tableColumn id="1" xr3:uid="{778FBB01-C7C4-481E-9AC2-6E36C3BE46B4}" uniqueName="1" name="Main SKU" queryTableFieldId="1" dataDxfId="17"/>
    <tableColumn id="3" xr3:uid="{E2E1AA22-14A8-4AF2-879D-5F1890B2AED3}" uniqueName="3" name="Brand" queryTableFieldId="3" dataDxfId="16"/>
    <tableColumn id="4" xr3:uid="{EE498137-C344-4087-B4F3-053EFFD7439C}" uniqueName="4" name="Manufacturer" queryTableFieldId="4" dataDxfId="15"/>
    <tableColumn id="5" xr3:uid="{B8E02400-D5A3-4EF7-89EC-8D1311931330}" uniqueName="5" name="Quantity in Pack" queryTableFieldId="5" dataDxfId="14"/>
    <tableColumn id="6" xr3:uid="{02B15297-3E5C-4A28-82FC-CC1708C4669C}" uniqueName="6" name="HS Code" queryTableFieldId="6" dataDxfId="13"/>
    <tableColumn id="7" xr3:uid="{E83FAF55-2B14-4FF5-BC5D-3EC2332EBD49}" uniqueName="7" name="Cost in INR(PacK)" queryTableFieldId="7" dataDxfId="12"/>
    <tableColumn id="8" xr3:uid="{1E6A1BA9-57BD-4644-800D-BFC8375CD1DA}" uniqueName="8" name="Cost In INR (Unit)" queryTableFieldId="8" dataDxfId="11"/>
    <tableColumn id="9" xr3:uid="{487580E9-CA80-4890-9EBD-15D84413E83E}" uniqueName="9" name="Fragile" queryTableFieldId="9" dataDxfId="10"/>
    <tableColumn id="10" xr3:uid="{34B6284B-8743-43F7-B645-AF89A9F80AC7}" uniqueName="10" name="Weight of Pack (in gms)" queryTableFieldId="10" dataDxfId="9"/>
    <tableColumn id="11" xr3:uid="{D6805DAB-3CD1-4195-A125-F90ADCFD4634}" uniqueName="11" name="Weight per Unit(in gms)" queryTableFieldId="11" dataDxfId="8"/>
    <tableColumn id="12" xr3:uid="{FC9708A2-39AE-452E-BA41-33DE7BB80C3F}" uniqueName="12" name="Length(in mm) Unit" queryTableFieldId="12" dataDxfId="7"/>
    <tableColumn id="13" xr3:uid="{8C3904E5-2259-4CF8-B746-076A753BDC90}" uniqueName="13" name="Width(in mm)" queryTableFieldId="13" dataDxfId="6"/>
    <tableColumn id="14" xr3:uid="{3A29EBE4-C47B-4F8A-859D-6F8828D8F613}" uniqueName="14" name="Height(in mm)" queryTableFieldId="14" dataDxfId="5"/>
    <tableColumn id="15" xr3:uid="{762CDE39-1EB6-42F0-A010-F9F5CCA35B66}" uniqueName="15" name="FSSAI Lic No." queryTableFieldId="15" dataDxfId="4"/>
    <tableColumn id="16" xr3:uid="{0111BA19-2E1C-45B3-B423-0CC0F044646C}" uniqueName="16" name="UPC/EAN" queryTableFieldId="16" dataDxfId="3"/>
    <tableColumn id="17" xr3:uid="{CBD780A8-F8DF-4AB8-9B9D-1113C7104148}" uniqueName="17" name="HAZMAT Required" queryTableFieldId="17" dataDxfId="2"/>
    <tableColumn id="18" xr3:uid="{611831D5-4D61-4930-A475-79AB3452ADFB}" uniqueName="18" name="Temperature Sensitive" queryTableFieldId="18" dataDxfId="1"/>
    <tableColumn id="19" xr3:uid="{FB98D5C1-B7A5-4A2D-8CE1-F8E9F7D59DDE}" uniqueName="19" name="Special Packaging Required" queryTableFieldId="1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table" Target="../tables/table1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M94"/>
  <sheetViews>
    <sheetView topLeftCell="A4" zoomScale="90" zoomScaleNormal="90" workbookViewId="0">
      <selection activeCell="G15" sqref="G15"/>
    </sheetView>
  </sheetViews>
  <sheetFormatPr defaultRowHeight="15" x14ac:dyDescent="0.25"/>
  <cols>
    <col min="1" max="1" width="39.42578125" bestFit="1" customWidth="1"/>
    <col min="2" max="2" width="15.5703125" customWidth="1"/>
    <col min="3" max="3" width="10.140625" customWidth="1"/>
    <col min="4" max="4" width="13.28515625" customWidth="1"/>
    <col min="5" max="5" width="15.7109375" style="3" bestFit="1" customWidth="1"/>
    <col min="6" max="6" width="16" style="4" bestFit="1" customWidth="1"/>
    <col min="7" max="7" width="18.42578125" style="3" bestFit="1" customWidth="1"/>
    <col min="9" max="9" width="18.42578125" bestFit="1" customWidth="1"/>
    <col min="10" max="10" width="14" bestFit="1" customWidth="1"/>
    <col min="12" max="12" width="15.5703125" customWidth="1"/>
  </cols>
  <sheetData>
    <row r="1" spans="1:13" ht="23.25" x14ac:dyDescent="0.35">
      <c r="A1" s="22" t="s">
        <v>425</v>
      </c>
      <c r="B1" s="22"/>
      <c r="C1" s="22"/>
      <c r="D1" s="6" t="s">
        <v>427</v>
      </c>
      <c r="E1" s="7" t="s">
        <v>426</v>
      </c>
      <c r="F1" s="5" t="s">
        <v>428</v>
      </c>
      <c r="G1" s="5" t="s">
        <v>4</v>
      </c>
      <c r="H1" s="5"/>
      <c r="I1" s="5"/>
      <c r="J1" s="5" t="s">
        <v>430</v>
      </c>
    </row>
    <row r="2" spans="1:13" x14ac:dyDescent="0.25">
      <c r="A2" s="21"/>
      <c r="B2" s="21"/>
      <c r="C2" s="21"/>
      <c r="D2" s="8">
        <f ca="1">TODAY()</f>
        <v>44875</v>
      </c>
      <c r="E2" s="7">
        <f>SUM(E4:E998)</f>
        <v>47483</v>
      </c>
      <c r="F2" s="9">
        <f>SUM(F4:F998)</f>
        <v>115.99600000000005</v>
      </c>
      <c r="G2" s="7">
        <f>SUM(G4:G998)</f>
        <v>134479.49214458323</v>
      </c>
      <c r="H2" s="7"/>
      <c r="I2" s="7"/>
      <c r="J2" s="7">
        <f>SUM(J4:J998)</f>
        <v>181962.49214458329</v>
      </c>
    </row>
    <row r="3" spans="1:13" x14ac:dyDescent="0.25">
      <c r="A3" t="s">
        <v>0</v>
      </c>
      <c r="B3" t="s">
        <v>1</v>
      </c>
      <c r="C3" t="s">
        <v>2</v>
      </c>
      <c r="D3" t="s">
        <v>3</v>
      </c>
      <c r="E3" s="3" t="s">
        <v>402</v>
      </c>
      <c r="F3" t="s">
        <v>436</v>
      </c>
      <c r="G3" t="s">
        <v>4</v>
      </c>
      <c r="H3" t="s">
        <v>429</v>
      </c>
      <c r="I3" t="s">
        <v>438</v>
      </c>
      <c r="J3" t="s">
        <v>430</v>
      </c>
      <c r="L3" s="10" t="s">
        <v>432</v>
      </c>
    </row>
    <row r="4" spans="1:13" x14ac:dyDescent="0.25">
      <c r="A4" t="s">
        <v>5</v>
      </c>
      <c r="B4" t="str">
        <f>IFERROR(VLOOKUP(Table2[[#This Row],[Product Name]],Table_0[],2,0),"")</f>
        <v>IG-10FSTAR</v>
      </c>
      <c r="C4" s="1">
        <v>2</v>
      </c>
      <c r="D4" s="3">
        <f>IFERROR(VLOOKUP(Table2[[#This Row],[Product Name]],Table_0[],7,0),"")</f>
        <v>400</v>
      </c>
      <c r="E4" s="3">
        <f>IFERROR(Table2[[#This Row],[Order Quantity]]*Table2[[#This Row],[Cost of 1 Pack]],"")</f>
        <v>800</v>
      </c>
      <c r="F4" s="4">
        <f>IFERROR((VLOOKUP(Table2[[#This Row],[Product Name]],Table_0[],10,0)/1000)*Table2[[#This Row],[Order Quantity]],"")</f>
        <v>1.76</v>
      </c>
      <c r="G4" s="3" cm="1">
        <f t="array" ref="G4">Table2[[#This Row],[Weight(kg)]]*Table4[Shiping per kg]</f>
        <v>2040.4488618096</v>
      </c>
      <c r="H4" s="3"/>
      <c r="I4" s="3">
        <f>(Table2[[#This Row],[Total Value]]/Table2[[#This Row],[Order Quantity]])+(Table2[[#This Row],[Shipping Cost]]/Table2[[#This Row],[Order Quantity]])+(Table2[[#This Row],[Taxes]]/Table2[[#This Row],[Order Quantity]])</f>
        <v>1420.2244309048001</v>
      </c>
      <c r="J4" s="3">
        <f>Table2[[#This Row],[Total Value]]+Table2[[#This Row],[Shipping Cost]]+Table2[[#This Row],[Taxes]]</f>
        <v>2840.4488618096002</v>
      </c>
      <c r="L4" s="11">
        <v>60</v>
      </c>
      <c r="M4" s="5"/>
    </row>
    <row r="5" spans="1:13" x14ac:dyDescent="0.25">
      <c r="A5" t="s">
        <v>6</v>
      </c>
      <c r="B5" t="str">
        <f>IFERROR(VLOOKUP(Table2[[#This Row],[Product Name]],Table_0[],2,0),"")</f>
        <v>IG-5FSTAR</v>
      </c>
      <c r="C5" s="1">
        <v>2</v>
      </c>
      <c r="D5" s="3">
        <f>IFERROR(VLOOKUP(Table2[[#This Row],[Product Name]],Table_0[],7,0),"")</f>
        <v>270</v>
      </c>
      <c r="E5" s="3">
        <f>IFERROR(Table2[[#This Row],[Order Quantity]]*Table2[[#This Row],[Cost of 1 Pack]],"")</f>
        <v>540</v>
      </c>
      <c r="F5" s="4">
        <f>IFERROR((VLOOKUP(Table2[[#This Row],[Product Name]],Table_0[],10,0)/1000)*Table2[[#This Row],[Order Quantity]],"")</f>
        <v>1.0900000000000001</v>
      </c>
      <c r="G5" s="3" cm="1">
        <f t="array" ref="G5">Table2[[#This Row],[Weight(kg)]]*Table4[Shiping per kg]</f>
        <v>1263.6870791889</v>
      </c>
      <c r="H5" s="3"/>
      <c r="I5" s="3">
        <f>(Table2[[#This Row],[Total Value]]/Table2[[#This Row],[Order Quantity]])+(Table2[[#This Row],[Shipping Cost]]/Table2[[#This Row],[Order Quantity]])+(Table2[[#This Row],[Taxes]]/Table2[[#This Row],[Order Quantity]])</f>
        <v>901.84353959445002</v>
      </c>
      <c r="J5" s="3">
        <f>Table2[[#This Row],[Total Value]]+Table2[[#This Row],[Shipping Cost]]+Table2[[#This Row],[Taxes]]</f>
        <v>1803.6870791889</v>
      </c>
      <c r="L5" s="10"/>
    </row>
    <row r="6" spans="1:13" x14ac:dyDescent="0.25">
      <c r="A6" t="s">
        <v>7</v>
      </c>
      <c r="B6" t="str">
        <f>IFERROR(VLOOKUP(Table2[[#This Row],[Product Name]],Table_0[],2,0),"")</f>
        <v>IG-ALPLP</v>
      </c>
      <c r="C6" s="1">
        <v>1</v>
      </c>
      <c r="D6" s="3">
        <f>IFERROR(VLOOKUP(Table2[[#This Row],[Product Name]],Table_0[],7,0),"")</f>
        <v>240</v>
      </c>
      <c r="E6" s="3">
        <f>IFERROR(Table2[[#This Row],[Order Quantity]]*Table2[[#This Row],[Cost of 1 Pack]],"")</f>
        <v>240</v>
      </c>
      <c r="F6" s="4">
        <f>IFERROR((VLOOKUP(Table2[[#This Row],[Product Name]],Table_0[],10,0)/1000)*Table2[[#This Row],[Order Quantity]],"")</f>
        <v>0.38400000000000001</v>
      </c>
      <c r="G6" s="3" cm="1">
        <f t="array" ref="G6">Table2[[#This Row],[Weight(kg)]]*Table4[Shiping per kg]</f>
        <v>445.18884257664001</v>
      </c>
      <c r="H6" s="3"/>
      <c r="I6" s="3">
        <f>(Table2[[#This Row],[Total Value]]/Table2[[#This Row],[Order Quantity]])+(Table2[[#This Row],[Shipping Cost]]/Table2[[#This Row],[Order Quantity]])+(Table2[[#This Row],[Taxes]]/Table2[[#This Row],[Order Quantity]])</f>
        <v>685.18884257664001</v>
      </c>
      <c r="J6" s="3">
        <f>Table2[[#This Row],[Total Value]]+Table2[[#This Row],[Shipping Cost]]+Table2[[#This Row],[Taxes]]</f>
        <v>685.18884257664001</v>
      </c>
      <c r="L6" s="10" t="s">
        <v>437</v>
      </c>
      <c r="M6" s="5"/>
    </row>
    <row r="7" spans="1:13" x14ac:dyDescent="0.25">
      <c r="A7" t="s">
        <v>8</v>
      </c>
      <c r="B7" t="str">
        <f>IFERROR(VLOOKUP(Table2[[#This Row],[Product Name]],Table_0[],2,0),"")</f>
        <v>IG-ALPCRM</v>
      </c>
      <c r="C7" s="1">
        <v>3</v>
      </c>
      <c r="D7" s="3">
        <f>IFERROR(VLOOKUP(Table2[[#This Row],[Product Name]],Table_0[],7,0),"")</f>
        <v>100</v>
      </c>
      <c r="E7" s="3">
        <f>IFERROR(Table2[[#This Row],[Order Quantity]]*Table2[[#This Row],[Cost of 1 Pack]],"")</f>
        <v>300</v>
      </c>
      <c r="F7" s="4">
        <f>IFERROR((VLOOKUP(Table2[[#This Row],[Product Name]],Table_0[],10,0)/1000)*Table2[[#This Row],[Order Quantity]],"")</f>
        <v>1.1400000000000001</v>
      </c>
      <c r="G7" s="3" cm="1">
        <f t="array" ref="G7">Table2[[#This Row],[Weight(kg)]]*Table4[Shiping per kg]</f>
        <v>1321.6543763994</v>
      </c>
      <c r="H7" s="3"/>
      <c r="I7" s="3">
        <f>(Table2[[#This Row],[Total Value]]/Table2[[#This Row],[Order Quantity]])+(Table2[[#This Row],[Shipping Cost]]/Table2[[#This Row],[Order Quantity]])+(Table2[[#This Row],[Taxes]]/Table2[[#This Row],[Order Quantity]])</f>
        <v>540.5514587998</v>
      </c>
      <c r="J7" s="3">
        <f>Table2[[#This Row],[Total Value]]+Table2[[#This Row],[Shipping Cost]]+Table2[[#This Row],[Taxes]]</f>
        <v>1621.6543763994</v>
      </c>
      <c r="L7" s="20">
        <v>1159.34594421</v>
      </c>
      <c r="M7" s="5"/>
    </row>
    <row r="8" spans="1:13" x14ac:dyDescent="0.25">
      <c r="A8" t="s">
        <v>9</v>
      </c>
      <c r="B8" t="str">
        <f>IFERROR(VLOOKUP(Table2[[#This Row],[Product Name]],Table_0[],2,0),"")</f>
        <v>IG-ALPGW</v>
      </c>
      <c r="C8" s="1">
        <v>3</v>
      </c>
      <c r="D8" s="3">
        <f>IFERROR(VLOOKUP(Table2[[#This Row],[Product Name]],Table_0[],7,0),"")</f>
        <v>100</v>
      </c>
      <c r="E8" s="3">
        <f>IFERROR(Table2[[#This Row],[Order Quantity]]*Table2[[#This Row],[Cost of 1 Pack]],"")</f>
        <v>300</v>
      </c>
      <c r="F8" s="4">
        <f>IFERROR((VLOOKUP(Table2[[#This Row],[Product Name]],Table_0[],10,0)/1000)*Table2[[#This Row],[Order Quantity]],"")</f>
        <v>1.1400000000000001</v>
      </c>
      <c r="G8" s="3" cm="1">
        <f t="array" ref="G8">Table2[[#This Row],[Weight(kg)]]*Table4[Shiping per kg]</f>
        <v>1321.6543763994</v>
      </c>
      <c r="H8" s="3"/>
      <c r="I8" s="3">
        <f>(Table2[[#This Row],[Total Value]]/Table2[[#This Row],[Order Quantity]])+(Table2[[#This Row],[Shipping Cost]]/Table2[[#This Row],[Order Quantity]])+(Table2[[#This Row],[Taxes]]/Table2[[#This Row],[Order Quantity]])</f>
        <v>540.5514587998</v>
      </c>
      <c r="J8" s="3">
        <f>Table2[[#This Row],[Total Value]]+Table2[[#This Row],[Shipping Cost]]+Table2[[#This Row],[Taxes]]</f>
        <v>1621.6543763994</v>
      </c>
      <c r="L8" s="10"/>
    </row>
    <row r="9" spans="1:13" x14ac:dyDescent="0.25">
      <c r="A9" t="s">
        <v>10</v>
      </c>
      <c r="B9" t="str">
        <f>IFERROR(VLOOKUP(Table2[[#This Row],[Product Name]],Table_0[],2,0),"")</f>
        <v>IG-ALPGOLD</v>
      </c>
      <c r="C9" s="1">
        <v>3</v>
      </c>
      <c r="D9" s="3">
        <f>IFERROR(VLOOKUP(Table2[[#This Row],[Product Name]],Table_0[],7,0),"")</f>
        <v>100</v>
      </c>
      <c r="E9" s="3">
        <f>IFERROR(Table2[[#This Row],[Order Quantity]]*Table2[[#This Row],[Cost of 1 Pack]],"")</f>
        <v>300</v>
      </c>
      <c r="F9" s="4">
        <f>IFERROR((VLOOKUP(Table2[[#This Row],[Product Name]],Table_0[],10,0)/1000)*Table2[[#This Row],[Order Quantity]],"")</f>
        <v>1.17</v>
      </c>
      <c r="G9" s="3" cm="1">
        <f t="array" ref="G9">Table2[[#This Row],[Weight(kg)]]*Table4[Shiping per kg]</f>
        <v>1356.4347547256998</v>
      </c>
      <c r="H9" s="3"/>
      <c r="I9" s="3">
        <f>(Table2[[#This Row],[Total Value]]/Table2[[#This Row],[Order Quantity]])+(Table2[[#This Row],[Shipping Cost]]/Table2[[#This Row],[Order Quantity]])+(Table2[[#This Row],[Taxes]]/Table2[[#This Row],[Order Quantity]])</f>
        <v>552.14491824189986</v>
      </c>
      <c r="J9" s="3">
        <f>Table2[[#This Row],[Total Value]]+Table2[[#This Row],[Shipping Cost]]+Table2[[#This Row],[Taxes]]</f>
        <v>1656.4347547256998</v>
      </c>
      <c r="L9" s="11" t="s">
        <v>431</v>
      </c>
    </row>
    <row r="10" spans="1:13" x14ac:dyDescent="0.25">
      <c r="A10" t="s">
        <v>11</v>
      </c>
      <c r="B10" t="str">
        <f>IFERROR(VLOOKUP(Table2[[#This Row],[Product Name]],Table_0[],2,0),"")</f>
        <v>IG-CHULIMLI</v>
      </c>
      <c r="C10" s="1">
        <v>14</v>
      </c>
      <c r="D10" s="3">
        <f>IFERROR(VLOOKUP(Table2[[#This Row],[Product Name]],Table_0[],7,0),"")</f>
        <v>60</v>
      </c>
      <c r="E10" s="3">
        <f>IFERROR(Table2[[#This Row],[Order Quantity]]*Table2[[#This Row],[Cost of 1 Pack]],"")</f>
        <v>840</v>
      </c>
      <c r="F10" s="4">
        <f>IFERROR((VLOOKUP(Table2[[#This Row],[Product Name]],Table_0[],10,0)/1000)*Table2[[#This Row],[Order Quantity]],"")</f>
        <v>2.8000000000000003</v>
      </c>
      <c r="G10" s="3" cm="1">
        <f t="array" ref="G10">Table2[[#This Row],[Weight(kg)]]*Table4[Shiping per kg]</f>
        <v>3246.1686437880003</v>
      </c>
      <c r="H10" s="3"/>
      <c r="I10" s="3">
        <f>(Table2[[#This Row],[Total Value]]/Table2[[#This Row],[Order Quantity]])+(Table2[[#This Row],[Shipping Cost]]/Table2[[#This Row],[Order Quantity]])+(Table2[[#This Row],[Taxes]]/Table2[[#This Row],[Order Quantity]])</f>
        <v>291.86918884200003</v>
      </c>
      <c r="J10" s="3">
        <f>Table2[[#This Row],[Total Value]]+Table2[[#This Row],[Shipping Cost]]+Table2[[#This Row],[Taxes]]</f>
        <v>4086.1686437880003</v>
      </c>
      <c r="L10" s="12">
        <f>E2/L4</f>
        <v>791.38333333333333</v>
      </c>
    </row>
    <row r="11" spans="1:13" x14ac:dyDescent="0.25">
      <c r="A11" t="s">
        <v>12</v>
      </c>
      <c r="B11" t="str">
        <f>IFERROR(VLOOKUP(Table2[[#This Row],[Product Name]],Table_0[],2,0),"")</f>
        <v>IG-BGBUL</v>
      </c>
      <c r="C11" s="1">
        <v>6</v>
      </c>
      <c r="D11" s="3">
        <f>IFERROR(VLOOKUP(Table2[[#This Row],[Product Name]],Table_0[],7,0),"")</f>
        <v>55</v>
      </c>
      <c r="E11" s="3">
        <f>IFERROR(Table2[[#This Row],[Order Quantity]]*Table2[[#This Row],[Cost of 1 Pack]],"")</f>
        <v>330</v>
      </c>
      <c r="F11" s="4">
        <f>IFERROR((VLOOKUP(Table2[[#This Row],[Product Name]],Table_0[],10,0)/1000)*Table2[[#This Row],[Order Quantity]],"")</f>
        <v>0.14400000000000002</v>
      </c>
      <c r="G11" s="3" cm="1">
        <f t="array" ref="G11">Table2[[#This Row],[Weight(kg)]]*Table4[Shiping per kg]</f>
        <v>166.94581596624002</v>
      </c>
      <c r="H11" s="3"/>
      <c r="I11" s="3">
        <f>(Table2[[#This Row],[Total Value]]/Table2[[#This Row],[Order Quantity]])+(Table2[[#This Row],[Shipping Cost]]/Table2[[#This Row],[Order Quantity]])+(Table2[[#This Row],[Taxes]]/Table2[[#This Row],[Order Quantity]])</f>
        <v>82.824302661040008</v>
      </c>
      <c r="J11" s="3">
        <f>Table2[[#This Row],[Total Value]]+Table2[[#This Row],[Shipping Cost]]+Table2[[#This Row],[Taxes]]</f>
        <v>496.94581596624005</v>
      </c>
      <c r="L11" s="10"/>
    </row>
    <row r="12" spans="1:13" x14ac:dyDescent="0.25">
      <c r="A12" t="s">
        <v>13</v>
      </c>
      <c r="B12" t="str">
        <f>IFERROR(VLOOKUP(Table2[[#This Row],[Product Name]],Table_0[],2,0),"")</f>
        <v>IG-10BINGOAM</v>
      </c>
      <c r="C12" s="1">
        <v>18</v>
      </c>
      <c r="D12" s="3">
        <f>IFERROR(VLOOKUP(Table2[[#This Row],[Product Name]],Table_0[],7,0),"")</f>
        <v>10</v>
      </c>
      <c r="E12" s="3">
        <f>IFERROR(Table2[[#This Row],[Order Quantity]]*Table2[[#This Row],[Cost of 1 Pack]],"")</f>
        <v>180</v>
      </c>
      <c r="F12" s="4">
        <f>IFERROR((VLOOKUP(Table2[[#This Row],[Product Name]],Table_0[],10,0)/1000)*Table2[[#This Row],[Order Quantity]],"")</f>
        <v>0</v>
      </c>
      <c r="G12" s="3" cm="1">
        <f t="array" ref="G12">Table2[[#This Row],[Weight(kg)]]*Table4[Shiping per kg]</f>
        <v>0</v>
      </c>
      <c r="H12" s="3"/>
      <c r="I12" s="3">
        <f>(Table2[[#This Row],[Total Value]]/Table2[[#This Row],[Order Quantity]])+(Table2[[#This Row],[Shipping Cost]]/Table2[[#This Row],[Order Quantity]])+(Table2[[#This Row],[Taxes]]/Table2[[#This Row],[Order Quantity]])</f>
        <v>10</v>
      </c>
      <c r="J12" s="3">
        <f>Table2[[#This Row],[Total Value]]+Table2[[#This Row],[Shipping Cost]]+Table2[[#This Row],[Taxes]]</f>
        <v>180</v>
      </c>
      <c r="L12" s="11" t="s">
        <v>433</v>
      </c>
    </row>
    <row r="13" spans="1:13" x14ac:dyDescent="0.25">
      <c r="A13" t="s">
        <v>14</v>
      </c>
      <c r="B13" t="str">
        <f>IFERROR(VLOOKUP(Table2[[#This Row],[Product Name]],Table_0[],2,0),"")</f>
        <v>IG-5BINGOAM</v>
      </c>
      <c r="C13" s="1">
        <v>25</v>
      </c>
      <c r="D13" s="3">
        <f>IFERROR(VLOOKUP(Table2[[#This Row],[Product Name]],Table_0[],7,0),"")</f>
        <v>5</v>
      </c>
      <c r="E13" s="3">
        <f>IFERROR(Table2[[#This Row],[Order Quantity]]*Table2[[#This Row],[Cost of 1 Pack]],"")</f>
        <v>125</v>
      </c>
      <c r="F13" s="4">
        <f>IFERROR((VLOOKUP(Table2[[#This Row],[Product Name]],Table_0[],10,0)/1000)*Table2[[#This Row],[Order Quantity]],"")</f>
        <v>0</v>
      </c>
      <c r="G13" s="3" cm="1">
        <f t="array" ref="G13">Table2[[#This Row],[Weight(kg)]]*Table4[Shiping per kg]</f>
        <v>0</v>
      </c>
      <c r="H13" s="3"/>
      <c r="I13" s="3">
        <f>(Table2[[#This Row],[Total Value]]/Table2[[#This Row],[Order Quantity]])+(Table2[[#This Row],[Shipping Cost]]/Table2[[#This Row],[Order Quantity]])+(Table2[[#This Row],[Taxes]]/Table2[[#This Row],[Order Quantity]])</f>
        <v>5</v>
      </c>
      <c r="J13" s="3">
        <f>Table2[[#This Row],[Total Value]]+Table2[[#This Row],[Shipping Cost]]+Table2[[#This Row],[Taxes]]</f>
        <v>125</v>
      </c>
      <c r="L13" s="12">
        <f>G2/L4</f>
        <v>2241.3248690763871</v>
      </c>
    </row>
    <row r="14" spans="1:13" x14ac:dyDescent="0.25">
      <c r="A14" t="s">
        <v>15</v>
      </c>
      <c r="B14" t="str">
        <f>IFERROR(VLOOKUP(Table2[[#This Row],[Product Name]],Table_0[],2,0),"")</f>
        <v>IG-10BINGOTM</v>
      </c>
      <c r="C14" s="1">
        <v>16</v>
      </c>
      <c r="D14" s="3">
        <f>IFERROR(VLOOKUP(Table2[[#This Row],[Product Name]],Table_0[],7,0),"")</f>
        <v>10</v>
      </c>
      <c r="E14" s="3">
        <f>IFERROR(Table2[[#This Row],[Order Quantity]]*Table2[[#This Row],[Cost of 1 Pack]],"")</f>
        <v>160</v>
      </c>
      <c r="F14" s="4">
        <f>IFERROR((VLOOKUP(Table2[[#This Row],[Product Name]],Table_0[],10,0)/1000)*Table2[[#This Row],[Order Quantity]],"")</f>
        <v>0</v>
      </c>
      <c r="G14" s="3" cm="1">
        <f t="array" ref="G14">Table2[[#This Row],[Weight(kg)]]*Table4[Shiping per kg]</f>
        <v>0</v>
      </c>
      <c r="H14" s="3"/>
      <c r="I14" s="3">
        <f>(Table2[[#This Row],[Total Value]]/Table2[[#This Row],[Order Quantity]])+(Table2[[#This Row],[Shipping Cost]]/Table2[[#This Row],[Order Quantity]])+(Table2[[#This Row],[Taxes]]/Table2[[#This Row],[Order Quantity]])</f>
        <v>10</v>
      </c>
      <c r="J14" s="3">
        <f>Table2[[#This Row],[Total Value]]+Table2[[#This Row],[Shipping Cost]]+Table2[[#This Row],[Taxes]]</f>
        <v>160</v>
      </c>
      <c r="L14" s="10"/>
    </row>
    <row r="15" spans="1:13" x14ac:dyDescent="0.25">
      <c r="A15" t="s">
        <v>16</v>
      </c>
      <c r="B15" t="str">
        <f>IFERROR(VLOOKUP(Table2[[#This Row],[Product Name]],Table_0[],2,0),"")</f>
        <v>IG-5BINGOTM</v>
      </c>
      <c r="C15" s="1">
        <v>48</v>
      </c>
      <c r="D15" s="3">
        <f>IFERROR(VLOOKUP(Table2[[#This Row],[Product Name]],Table_0[],7,0),"")</f>
        <v>5</v>
      </c>
      <c r="E15" s="3">
        <f>IFERROR(Table2[[#This Row],[Order Quantity]]*Table2[[#This Row],[Cost of 1 Pack]],"")</f>
        <v>240</v>
      </c>
      <c r="F15" s="4">
        <f>IFERROR((VLOOKUP(Table2[[#This Row],[Product Name]],Table_0[],10,0)/1000)*Table2[[#This Row],[Order Quantity]],"")</f>
        <v>0</v>
      </c>
      <c r="G15" s="3" cm="1">
        <f t="array" ref="G15">Table2[[#This Row],[Weight(kg)]]*Table4[Shiping per kg]</f>
        <v>0</v>
      </c>
      <c r="H15" s="3"/>
      <c r="I15" s="3">
        <f>(Table2[[#This Row],[Total Value]]/Table2[[#This Row],[Order Quantity]])+(Table2[[#This Row],[Shipping Cost]]/Table2[[#This Row],[Order Quantity]])+(Table2[[#This Row],[Taxes]]/Table2[[#This Row],[Order Quantity]])</f>
        <v>5</v>
      </c>
      <c r="J15" s="3">
        <f>Table2[[#This Row],[Total Value]]+Table2[[#This Row],[Shipping Cost]]+Table2[[#This Row],[Taxes]]</f>
        <v>240</v>
      </c>
      <c r="L15" s="11" t="s">
        <v>434</v>
      </c>
    </row>
    <row r="16" spans="1:13" x14ac:dyDescent="0.25">
      <c r="A16" t="s">
        <v>17</v>
      </c>
      <c r="B16" t="str">
        <f>IFERROR(VLOOKUP(Table2[[#This Row],[Product Name]],Table_0[],2,0),"")</f>
        <v>IG-BLKMNG</v>
      </c>
      <c r="C16" s="1">
        <v>3</v>
      </c>
      <c r="D16" s="3">
        <f>IFERROR(VLOOKUP(Table2[[#This Row],[Product Name]],Table_0[],7,0),"")</f>
        <v>28</v>
      </c>
      <c r="E16" s="3">
        <f>IFERROR(Table2[[#This Row],[Order Quantity]]*Table2[[#This Row],[Cost of 1 Pack]],"")</f>
        <v>84</v>
      </c>
      <c r="F16" s="4">
        <f>IFERROR((VLOOKUP(Table2[[#This Row],[Product Name]],Table_0[],10,0)/1000)*Table2[[#This Row],[Order Quantity]],"")</f>
        <v>0.42000000000000004</v>
      </c>
      <c r="G16" s="3" cm="1">
        <f t="array" ref="G16">Table2[[#This Row],[Weight(kg)]]*Table4[Shiping per kg]</f>
        <v>486.92529656820005</v>
      </c>
      <c r="H16" s="3"/>
      <c r="I16" s="3">
        <f>(Table2[[#This Row],[Total Value]]/Table2[[#This Row],[Order Quantity]])+(Table2[[#This Row],[Shipping Cost]]/Table2[[#This Row],[Order Quantity]])+(Table2[[#This Row],[Taxes]]/Table2[[#This Row],[Order Quantity]])</f>
        <v>190.30843218940001</v>
      </c>
      <c r="J16" s="3">
        <f>Table2[[#This Row],[Total Value]]+Table2[[#This Row],[Shipping Cost]]+Table2[[#This Row],[Taxes]]</f>
        <v>570.92529656820011</v>
      </c>
      <c r="L16" s="12">
        <f>H2/L4</f>
        <v>0</v>
      </c>
    </row>
    <row r="17" spans="1:12" x14ac:dyDescent="0.25">
      <c r="A17" t="s">
        <v>18</v>
      </c>
      <c r="B17" t="str">
        <f>IFERROR(VLOOKUP(Table2[[#This Row],[Product Name]],Table_0[],2,0),"")</f>
        <v>IG-BOOMER</v>
      </c>
      <c r="C17" s="1">
        <v>3</v>
      </c>
      <c r="D17" s="3">
        <f>IFERROR(VLOOKUP(Table2[[#This Row],[Product Name]],Table_0[],7,0),"")</f>
        <v>150</v>
      </c>
      <c r="E17" s="3">
        <f>IFERROR(Table2[[#This Row],[Order Quantity]]*Table2[[#This Row],[Cost of 1 Pack]],"")</f>
        <v>450</v>
      </c>
      <c r="F17" s="4">
        <f>IFERROR((VLOOKUP(Table2[[#This Row],[Product Name]],Table_0[],10,0)/1000)*Table2[[#This Row],[Order Quantity]],"")</f>
        <v>1.53</v>
      </c>
      <c r="G17" s="3" cm="1">
        <f t="array" ref="G17">Table2[[#This Row],[Weight(kg)]]*Table4[Shiping per kg]</f>
        <v>1773.7992946413001</v>
      </c>
      <c r="H17" s="3"/>
      <c r="I17" s="3">
        <f>(Table2[[#This Row],[Total Value]]/Table2[[#This Row],[Order Quantity]])+(Table2[[#This Row],[Shipping Cost]]/Table2[[#This Row],[Order Quantity]])+(Table2[[#This Row],[Taxes]]/Table2[[#This Row],[Order Quantity]])</f>
        <v>741.26643154710007</v>
      </c>
      <c r="J17" s="3">
        <f>Table2[[#This Row],[Total Value]]+Table2[[#This Row],[Shipping Cost]]+Table2[[#This Row],[Taxes]]</f>
        <v>2223.7992946413001</v>
      </c>
      <c r="L17" s="10"/>
    </row>
    <row r="18" spans="1:12" x14ac:dyDescent="0.25">
      <c r="A18" t="s">
        <v>19</v>
      </c>
      <c r="B18" t="str">
        <f>IFERROR(VLOOKUP(Table2[[#This Row],[Product Name]],Table_0[],2,0),"")</f>
        <v>IG-CTRFRSH</v>
      </c>
      <c r="C18" s="1">
        <v>2</v>
      </c>
      <c r="D18" s="3">
        <f>IFERROR(VLOOKUP(Table2[[#This Row],[Product Name]],Table_0[],7,0),"")</f>
        <v>225</v>
      </c>
      <c r="E18" s="3">
        <f>IFERROR(Table2[[#This Row],[Order Quantity]]*Table2[[#This Row],[Cost of 1 Pack]],"")</f>
        <v>450</v>
      </c>
      <c r="F18" s="4">
        <f>IFERROR((VLOOKUP(Table2[[#This Row],[Product Name]],Table_0[],10,0)/1000)*Table2[[#This Row],[Order Quantity]],"")</f>
        <v>1.35</v>
      </c>
      <c r="G18" s="3" cm="1">
        <f t="array" ref="G18">Table2[[#This Row],[Weight(kg)]]*Table4[Shiping per kg]</f>
        <v>1565.1170246835002</v>
      </c>
      <c r="H18" s="3"/>
      <c r="I18" s="3">
        <f>(Table2[[#This Row],[Total Value]]/Table2[[#This Row],[Order Quantity]])+(Table2[[#This Row],[Shipping Cost]]/Table2[[#This Row],[Order Quantity]])+(Table2[[#This Row],[Taxes]]/Table2[[#This Row],[Order Quantity]])</f>
        <v>1007.5585123417501</v>
      </c>
      <c r="J18" s="3">
        <f>Table2[[#This Row],[Total Value]]+Table2[[#This Row],[Shipping Cost]]+Table2[[#This Row],[Taxes]]</f>
        <v>2015.1170246835002</v>
      </c>
      <c r="L18" s="11" t="s">
        <v>435</v>
      </c>
    </row>
    <row r="19" spans="1:12" ht="18.75" x14ac:dyDescent="0.25">
      <c r="A19" t="s">
        <v>20</v>
      </c>
      <c r="B19" t="str">
        <f>IFERROR(VLOOKUP(Table2[[#This Row],[Product Name]],Table_0[],2,0),"")</f>
        <v>IG-CTRFM</v>
      </c>
      <c r="C19" s="1">
        <v>1</v>
      </c>
      <c r="D19" s="3">
        <f>IFERROR(VLOOKUP(Table2[[#This Row],[Product Name]],Table_0[],7,0),"")</f>
        <v>240</v>
      </c>
      <c r="E19" s="3">
        <f>IFERROR(Table2[[#This Row],[Order Quantity]]*Table2[[#This Row],[Cost of 1 Pack]],"")</f>
        <v>240</v>
      </c>
      <c r="F19" s="4">
        <f>IFERROR((VLOOKUP(Table2[[#This Row],[Product Name]],Table_0[],10,0)/1000)*Table2[[#This Row],[Order Quantity]],"")</f>
        <v>0.11</v>
      </c>
      <c r="G19" s="3" cm="1">
        <f t="array" ref="G19">Table2[[#This Row],[Weight(kg)]]*Table4[Shiping per kg]</f>
        <v>127.5280538631</v>
      </c>
      <c r="H19" s="3"/>
      <c r="I19" s="3">
        <f>(Table2[[#This Row],[Total Value]]/Table2[[#This Row],[Order Quantity]])+(Table2[[#This Row],[Shipping Cost]]/Table2[[#This Row],[Order Quantity]])+(Table2[[#This Row],[Taxes]]/Table2[[#This Row],[Order Quantity]])</f>
        <v>367.52805386310001</v>
      </c>
      <c r="J19" s="3">
        <f>Table2[[#This Row],[Total Value]]+Table2[[#This Row],[Shipping Cost]]+Table2[[#This Row],[Taxes]]</f>
        <v>367.52805386310001</v>
      </c>
      <c r="L19" s="13">
        <f>L10+L13+L16</f>
        <v>3032.7082024097203</v>
      </c>
    </row>
    <row r="20" spans="1:12" x14ac:dyDescent="0.25">
      <c r="A20" t="s">
        <v>21</v>
      </c>
      <c r="B20" t="str">
        <f>IFERROR(VLOOKUP(Table2[[#This Row],[Product Name]],Table_0[],2,0),"")</f>
        <v>IG-CTRFRUT</v>
      </c>
      <c r="C20" s="1">
        <v>2</v>
      </c>
      <c r="D20" s="3">
        <f>IFERROR(VLOOKUP(Table2[[#This Row],[Product Name]],Table_0[],7,0),"")</f>
        <v>200</v>
      </c>
      <c r="E20" s="3">
        <f>IFERROR(Table2[[#This Row],[Order Quantity]]*Table2[[#This Row],[Cost of 1 Pack]],"")</f>
        <v>400</v>
      </c>
      <c r="F20" s="4">
        <f>IFERROR((VLOOKUP(Table2[[#This Row],[Product Name]],Table_0[],10,0)/1000)*Table2[[#This Row],[Order Quantity]],"")</f>
        <v>1.2</v>
      </c>
      <c r="G20" s="3" cm="1">
        <f t="array" ref="G20">Table2[[#This Row],[Weight(kg)]]*Table4[Shiping per kg]</f>
        <v>1391.2151330519998</v>
      </c>
      <c r="H20" s="3"/>
      <c r="I20" s="3">
        <f>(Table2[[#This Row],[Total Value]]/Table2[[#This Row],[Order Quantity]])+(Table2[[#This Row],[Shipping Cost]]/Table2[[#This Row],[Order Quantity]])+(Table2[[#This Row],[Taxes]]/Table2[[#This Row],[Order Quantity]])</f>
        <v>895.60756652599991</v>
      </c>
      <c r="J20" s="3">
        <f>Table2[[#This Row],[Total Value]]+Table2[[#This Row],[Shipping Cost]]+Table2[[#This Row],[Taxes]]</f>
        <v>1791.2151330519998</v>
      </c>
    </row>
    <row r="21" spans="1:12" x14ac:dyDescent="0.25">
      <c r="A21" t="s">
        <v>22</v>
      </c>
      <c r="B21" t="str">
        <f>IFERROR(VLOOKUP(Table2[[#This Row],[Product Name]],Table_0[],2,0),"")</f>
        <v>IG-CHOCLRS</v>
      </c>
      <c r="C21" s="1">
        <v>1</v>
      </c>
      <c r="D21" s="3">
        <f>IFERROR(VLOOKUP(Table2[[#This Row],[Product Name]],Table_0[],7,0),"")</f>
        <v>200</v>
      </c>
      <c r="E21" s="3">
        <f>IFERROR(Table2[[#This Row],[Order Quantity]]*Table2[[#This Row],[Cost of 1 Pack]],"")</f>
        <v>200</v>
      </c>
      <c r="F21" s="4">
        <f>IFERROR((VLOOKUP(Table2[[#This Row],[Product Name]],Table_0[],10,0)/1000)*Table2[[#This Row],[Order Quantity]],"")</f>
        <v>0.60499999999999998</v>
      </c>
      <c r="G21" s="3" cm="1">
        <f t="array" ref="G21">Table2[[#This Row],[Weight(kg)]]*Table4[Shiping per kg]</f>
        <v>701.40429624704996</v>
      </c>
      <c r="H21" s="3"/>
      <c r="I21" s="3">
        <f>(Table2[[#This Row],[Total Value]]/Table2[[#This Row],[Order Quantity]])+(Table2[[#This Row],[Shipping Cost]]/Table2[[#This Row],[Order Quantity]])+(Table2[[#This Row],[Taxes]]/Table2[[#This Row],[Order Quantity]])</f>
        <v>901.40429624704996</v>
      </c>
      <c r="J21" s="3">
        <f>Table2[[#This Row],[Total Value]]+Table2[[#This Row],[Shipping Cost]]+Table2[[#This Row],[Taxes]]</f>
        <v>901.40429624704996</v>
      </c>
    </row>
    <row r="22" spans="1:12" x14ac:dyDescent="0.25">
      <c r="A22" t="s">
        <v>23</v>
      </c>
      <c r="B22" t="str">
        <f>IFERROR(VLOOKUP(Table2[[#This Row],[Product Name]],Table_0[],2,0),"")</f>
        <v>IG-LUVP</v>
      </c>
      <c r="C22" s="1">
        <v>1</v>
      </c>
      <c r="D22" s="3">
        <f>IFERROR(VLOOKUP(Table2[[#This Row],[Product Name]],Table_0[],7,0),"")</f>
        <v>350</v>
      </c>
      <c r="E22" s="3">
        <f>IFERROR(Table2[[#This Row],[Order Quantity]]*Table2[[#This Row],[Cost of 1 Pack]],"")</f>
        <v>350</v>
      </c>
      <c r="F22" s="4">
        <f>IFERROR((VLOOKUP(Table2[[#This Row],[Product Name]],Table_0[],10,0)/1000)*Table2[[#This Row],[Order Quantity]],"")</f>
        <v>0.77</v>
      </c>
      <c r="G22" s="3" cm="1">
        <f t="array" ref="G22">Table2[[#This Row],[Weight(kg)]]*Table4[Shiping per kg]</f>
        <v>892.69637704169998</v>
      </c>
      <c r="H22" s="3"/>
      <c r="I22" s="3">
        <f>(Table2[[#This Row],[Total Value]]/Table2[[#This Row],[Order Quantity]])+(Table2[[#This Row],[Shipping Cost]]/Table2[[#This Row],[Order Quantity]])+(Table2[[#This Row],[Taxes]]/Table2[[#This Row],[Order Quantity]])</f>
        <v>1242.6963770417001</v>
      </c>
      <c r="J22" s="3">
        <f>Table2[[#This Row],[Total Value]]+Table2[[#This Row],[Shipping Cost]]+Table2[[#This Row],[Taxes]]</f>
        <v>1242.6963770417001</v>
      </c>
    </row>
    <row r="23" spans="1:12" x14ac:dyDescent="0.25">
      <c r="A23" t="s">
        <v>24</v>
      </c>
      <c r="B23" t="str">
        <f>IFERROR(VLOOKUP(Table2[[#This Row],[Product Name]],Table_0[],2,0),"")</f>
        <v>IG-KOKOHRT</v>
      </c>
      <c r="C23" s="1">
        <v>3</v>
      </c>
      <c r="D23" s="3">
        <f>IFERROR(VLOOKUP(Table2[[#This Row],[Product Name]],Table_0[],7,0),"")</f>
        <v>150</v>
      </c>
      <c r="E23" s="3">
        <f>IFERROR(Table2[[#This Row],[Order Quantity]]*Table2[[#This Row],[Cost of 1 Pack]],"")</f>
        <v>450</v>
      </c>
      <c r="F23" s="4">
        <f>IFERROR((VLOOKUP(Table2[[#This Row],[Product Name]],Table_0[],10,0)/1000)*Table2[[#This Row],[Order Quantity]],"")</f>
        <v>1.71</v>
      </c>
      <c r="G23" s="3" cm="1">
        <f t="array" ref="G23">Table2[[#This Row],[Weight(kg)]]*Table4[Shiping per kg]</f>
        <v>1982.4815645991</v>
      </c>
      <c r="H23" s="3"/>
      <c r="I23" s="3">
        <f>(Table2[[#This Row],[Total Value]]/Table2[[#This Row],[Order Quantity]])+(Table2[[#This Row],[Shipping Cost]]/Table2[[#This Row],[Order Quantity]])+(Table2[[#This Row],[Taxes]]/Table2[[#This Row],[Order Quantity]])</f>
        <v>810.8271881997</v>
      </c>
      <c r="J23" s="3">
        <f>Table2[[#This Row],[Total Value]]+Table2[[#This Row],[Shipping Cost]]+Table2[[#This Row],[Taxes]]</f>
        <v>2432.4815645991002</v>
      </c>
    </row>
    <row r="24" spans="1:12" x14ac:dyDescent="0.25">
      <c r="A24" t="s">
        <v>25</v>
      </c>
      <c r="B24" t="str">
        <f>IFERROR(VLOOKUP(Table2[[#This Row],[Product Name]],Table_0[],2,0),"")</f>
        <v>IG-PANRS</v>
      </c>
      <c r="C24" s="1">
        <v>2</v>
      </c>
      <c r="D24" s="3">
        <f>IFERROR(VLOOKUP(Table2[[#This Row],[Product Name]],Table_0[],7,0),"")</f>
        <v>166</v>
      </c>
      <c r="E24" s="3">
        <f>IFERROR(Table2[[#This Row],[Order Quantity]]*Table2[[#This Row],[Cost of 1 Pack]],"")</f>
        <v>332</v>
      </c>
      <c r="F24" s="4">
        <f>IFERROR((VLOOKUP(Table2[[#This Row],[Product Name]],Table_0[],10,0)/1000)*Table2[[#This Row],[Order Quantity]],"")</f>
        <v>1.3280000000000001</v>
      </c>
      <c r="G24" s="3" cm="1">
        <f t="array" ref="G24">Table2[[#This Row],[Weight(kg)]]*Table4[Shiping per kg]</f>
        <v>1539.6114139108799</v>
      </c>
      <c r="H24" s="3"/>
      <c r="I24" s="3">
        <f>(Table2[[#This Row],[Total Value]]/Table2[[#This Row],[Order Quantity]])+(Table2[[#This Row],[Shipping Cost]]/Table2[[#This Row],[Order Quantity]])+(Table2[[#This Row],[Taxes]]/Table2[[#This Row],[Order Quantity]])</f>
        <v>935.80570695543997</v>
      </c>
      <c r="J24" s="3">
        <f>Table2[[#This Row],[Total Value]]+Table2[[#This Row],[Shipping Cost]]+Table2[[#This Row],[Taxes]]</f>
        <v>1871.6114139108799</v>
      </c>
    </row>
    <row r="25" spans="1:12" x14ac:dyDescent="0.25">
      <c r="A25" t="s">
        <v>26</v>
      </c>
      <c r="B25" t="str">
        <f>IFERROR(VLOOKUP(Table2[[#This Row],[Product Name]],Table_0[],2,0),"")</f>
        <v>IG-JELLY</v>
      </c>
      <c r="C25" s="1">
        <v>2</v>
      </c>
      <c r="D25" s="3">
        <f>IFERROR(VLOOKUP(Table2[[#This Row],[Product Name]],Table_0[],7,0),"")</f>
        <v>400</v>
      </c>
      <c r="E25" s="3">
        <f>IFERROR(Table2[[#This Row],[Order Quantity]]*Table2[[#This Row],[Cost of 1 Pack]],"")</f>
        <v>800</v>
      </c>
      <c r="F25" s="4">
        <f>IFERROR((VLOOKUP(Table2[[#This Row],[Product Name]],Table_0[],10,0)/1000)*Table2[[#This Row],[Order Quantity]],"")</f>
        <v>3</v>
      </c>
      <c r="G25" s="3" cm="1">
        <f t="array" ref="G25">Table2[[#This Row],[Weight(kg)]]*Table4[Shiping per kg]</f>
        <v>3478.0378326299997</v>
      </c>
      <c r="H25" s="3"/>
      <c r="I25" s="3">
        <f>(Table2[[#This Row],[Total Value]]/Table2[[#This Row],[Order Quantity]])+(Table2[[#This Row],[Shipping Cost]]/Table2[[#This Row],[Order Quantity]])+(Table2[[#This Row],[Taxes]]/Table2[[#This Row],[Order Quantity]])</f>
        <v>2139.0189163149998</v>
      </c>
      <c r="J25" s="3">
        <f>Table2[[#This Row],[Total Value]]+Table2[[#This Row],[Shipping Cost]]+Table2[[#This Row],[Taxes]]</f>
        <v>4278.0378326299997</v>
      </c>
    </row>
    <row r="26" spans="1:12" x14ac:dyDescent="0.25">
      <c r="A26" t="s">
        <v>27</v>
      </c>
      <c r="B26" t="str">
        <f>IFERROR(VLOOKUP(Table2[[#This Row],[Product Name]],Table_0[],2,0),"")</f>
        <v>IG-COFYBT</v>
      </c>
      <c r="C26" s="1">
        <v>2</v>
      </c>
      <c r="D26" s="3">
        <f>IFERROR(VLOOKUP(Table2[[#This Row],[Product Name]],Table_0[],7,0),"")</f>
        <v>150</v>
      </c>
      <c r="E26" s="3">
        <f>IFERROR(Table2[[#This Row],[Order Quantity]]*Table2[[#This Row],[Cost of 1 Pack]],"")</f>
        <v>300</v>
      </c>
      <c r="F26" s="4">
        <f>IFERROR((VLOOKUP(Table2[[#This Row],[Product Name]],Table_0[],10,0)/1000)*Table2[[#This Row],[Order Quantity]],"")</f>
        <v>1.38</v>
      </c>
      <c r="G26" s="3" cm="1">
        <f t="array" ref="G26">Table2[[#This Row],[Weight(kg)]]*Table4[Shiping per kg]</f>
        <v>1599.8974030097997</v>
      </c>
      <c r="H26" s="3"/>
      <c r="I26" s="3">
        <f>(Table2[[#This Row],[Total Value]]/Table2[[#This Row],[Order Quantity]])+(Table2[[#This Row],[Shipping Cost]]/Table2[[#This Row],[Order Quantity]])+(Table2[[#This Row],[Taxes]]/Table2[[#This Row],[Order Quantity]])</f>
        <v>949.94870150489987</v>
      </c>
      <c r="J26" s="3">
        <f>Table2[[#This Row],[Total Value]]+Table2[[#This Row],[Shipping Cost]]+Table2[[#This Row],[Taxes]]</f>
        <v>1899.8974030097997</v>
      </c>
    </row>
    <row r="27" spans="1:12" x14ac:dyDescent="0.25">
      <c r="A27" t="s">
        <v>28</v>
      </c>
      <c r="B27" t="str">
        <f>IFERROR(VLOOKUP(Table2[[#This Row],[Product Name]],Table_0[],2,0),"")</f>
        <v>IG-5-2CRAX</v>
      </c>
      <c r="C27" s="1">
        <v>84</v>
      </c>
      <c r="D27" s="3">
        <f>IFERROR(VLOOKUP(Table2[[#This Row],[Product Name]],Table_0[],7,0),"")</f>
        <v>5</v>
      </c>
      <c r="E27" s="3">
        <f>IFERROR(Table2[[#This Row],[Order Quantity]]*Table2[[#This Row],[Cost of 1 Pack]],"")</f>
        <v>420</v>
      </c>
      <c r="F27" s="4">
        <f>IFERROR((VLOOKUP(Table2[[#This Row],[Product Name]],Table_0[],10,0)/1000)*Table2[[#This Row],[Order Quantity]],"")</f>
        <v>0</v>
      </c>
      <c r="G27" s="3" cm="1">
        <f t="array" ref="G27">Table2[[#This Row],[Weight(kg)]]*Table4[Shiping per kg]</f>
        <v>0</v>
      </c>
      <c r="H27" s="3"/>
      <c r="I27" s="3">
        <f>(Table2[[#This Row],[Total Value]]/Table2[[#This Row],[Order Quantity]])+(Table2[[#This Row],[Shipping Cost]]/Table2[[#This Row],[Order Quantity]])+(Table2[[#This Row],[Taxes]]/Table2[[#This Row],[Order Quantity]])</f>
        <v>5</v>
      </c>
      <c r="J27" s="3">
        <f>Table2[[#This Row],[Total Value]]+Table2[[#This Row],[Shipping Cost]]+Table2[[#This Row],[Taxes]]</f>
        <v>420</v>
      </c>
    </row>
    <row r="28" spans="1:12" x14ac:dyDescent="0.25">
      <c r="A28" t="s">
        <v>29</v>
      </c>
      <c r="B28" t="str">
        <f>IFERROR(VLOOKUP(Table2[[#This Row],[Product Name]],Table_0[],2,0),"")</f>
        <v>IG-5CRAX</v>
      </c>
      <c r="C28" s="1">
        <v>24</v>
      </c>
      <c r="D28" s="3">
        <f>IFERROR(VLOOKUP(Table2[[#This Row],[Product Name]],Table_0[],7,0),"")</f>
        <v>5</v>
      </c>
      <c r="E28" s="3">
        <f>IFERROR(Table2[[#This Row],[Order Quantity]]*Table2[[#This Row],[Cost of 1 Pack]],"")</f>
        <v>120</v>
      </c>
      <c r="F28" s="4">
        <f>IFERROR((VLOOKUP(Table2[[#This Row],[Product Name]],Table_0[],10,0)/1000)*Table2[[#This Row],[Order Quantity]],"")</f>
        <v>0</v>
      </c>
      <c r="G28" s="3" cm="1">
        <f t="array" ref="G28">Table2[[#This Row],[Weight(kg)]]*Table4[Shiping per kg]</f>
        <v>0</v>
      </c>
      <c r="H28" s="3"/>
      <c r="I28" s="3">
        <f>(Table2[[#This Row],[Total Value]]/Table2[[#This Row],[Order Quantity]])+(Table2[[#This Row],[Shipping Cost]]/Table2[[#This Row],[Order Quantity]])+(Table2[[#This Row],[Taxes]]/Table2[[#This Row],[Order Quantity]])</f>
        <v>5</v>
      </c>
      <c r="J28" s="3">
        <f>Table2[[#This Row],[Total Value]]+Table2[[#This Row],[Shipping Cost]]+Table2[[#This Row],[Taxes]]</f>
        <v>120</v>
      </c>
    </row>
    <row r="29" spans="1:12" x14ac:dyDescent="0.25">
      <c r="A29" t="s">
        <v>30</v>
      </c>
      <c r="B29" t="str">
        <f>IFERROR(VLOOKUP(Table2[[#This Row],[Product Name]],Table_0[],2,0),"")</f>
        <v>IG-NTKT</v>
      </c>
      <c r="C29" s="1">
        <v>96</v>
      </c>
      <c r="D29" s="3">
        <f>IFERROR(VLOOKUP(Table2[[#This Row],[Product Name]],Table_0[],7,0),"")</f>
        <v>5</v>
      </c>
      <c r="E29" s="3">
        <f>IFERROR(Table2[[#This Row],[Order Quantity]]*Table2[[#This Row],[Cost of 1 Pack]],"")</f>
        <v>480</v>
      </c>
      <c r="F29" s="4">
        <f>IFERROR((VLOOKUP(Table2[[#This Row],[Product Name]],Table_0[],10,0)/1000)*Table2[[#This Row],[Order Quantity]],"")</f>
        <v>1.7279999999999998</v>
      </c>
      <c r="G29" s="3" cm="1">
        <f t="array" ref="G29">Table2[[#This Row],[Weight(kg)]]*Table4[Shiping per kg]</f>
        <v>2003.3497915948797</v>
      </c>
      <c r="H29" s="3"/>
      <c r="I29" s="3">
        <f>(Table2[[#This Row],[Total Value]]/Table2[[#This Row],[Order Quantity]])+(Table2[[#This Row],[Shipping Cost]]/Table2[[#This Row],[Order Quantity]])+(Table2[[#This Row],[Taxes]]/Table2[[#This Row],[Order Quantity]])</f>
        <v>25.868226995779995</v>
      </c>
      <c r="J29" s="3">
        <f>Table2[[#This Row],[Total Value]]+Table2[[#This Row],[Shipping Cost]]+Table2[[#This Row],[Taxes]]</f>
        <v>2483.3497915948797</v>
      </c>
    </row>
    <row r="30" spans="1:12" x14ac:dyDescent="0.25">
      <c r="A30" t="s">
        <v>31</v>
      </c>
      <c r="B30" t="str">
        <f>IFERROR(VLOOKUP(Table2[[#This Row],[Product Name]],Table_0[],2,0),"")</f>
        <v>IG-DESIPOP</v>
      </c>
      <c r="C30" s="1">
        <v>1</v>
      </c>
      <c r="D30" s="3">
        <f>IFERROR(VLOOKUP(Table2[[#This Row],[Product Name]],Table_0[],7,0),"")</f>
        <v>450</v>
      </c>
      <c r="E30" s="3">
        <f>IFERROR(Table2[[#This Row],[Order Quantity]]*Table2[[#This Row],[Cost of 1 Pack]],"")</f>
        <v>450</v>
      </c>
      <c r="F30" s="4">
        <f>IFERROR((VLOOKUP(Table2[[#This Row],[Product Name]],Table_0[],10,0)/1000)*Table2[[#This Row],[Order Quantity]],"")</f>
        <v>0.75</v>
      </c>
      <c r="G30" s="3" cm="1">
        <f t="array" ref="G30">Table2[[#This Row],[Weight(kg)]]*Table4[Shiping per kg]</f>
        <v>869.50945815749992</v>
      </c>
      <c r="H30" s="3"/>
      <c r="I30" s="3">
        <f>(Table2[[#This Row],[Total Value]]/Table2[[#This Row],[Order Quantity]])+(Table2[[#This Row],[Shipping Cost]]/Table2[[#This Row],[Order Quantity]])+(Table2[[#This Row],[Taxes]]/Table2[[#This Row],[Order Quantity]])</f>
        <v>1319.5094581574999</v>
      </c>
      <c r="J30" s="3">
        <f>Table2[[#This Row],[Total Value]]+Table2[[#This Row],[Shipping Cost]]+Table2[[#This Row],[Taxes]]</f>
        <v>1319.5094581574999</v>
      </c>
    </row>
    <row r="31" spans="1:12" x14ac:dyDescent="0.25">
      <c r="A31" t="s">
        <v>32</v>
      </c>
      <c r="B31" t="str">
        <f>IFERROR(VLOOKUP(Table2[[#This Row],[Product Name]],Table_0[],2,0),"")</f>
        <v>IG-DLRCC</v>
      </c>
      <c r="C31" s="1">
        <v>2</v>
      </c>
      <c r="D31" s="3">
        <f>IFERROR(VLOOKUP(Table2[[#This Row],[Product Name]],Table_0[],7,0),"")</f>
        <v>400</v>
      </c>
      <c r="E31" s="3">
        <f>IFERROR(Table2[[#This Row],[Order Quantity]]*Table2[[#This Row],[Cost of 1 Pack]],"")</f>
        <v>800</v>
      </c>
      <c r="F31" s="4">
        <f>IFERROR((VLOOKUP(Table2[[#This Row],[Product Name]],Table_0[],10,0)/1000)*Table2[[#This Row],[Order Quantity]],"")</f>
        <v>0.28000000000000003</v>
      </c>
      <c r="G31" s="3" cm="1">
        <f t="array" ref="G31">Table2[[#This Row],[Weight(kg)]]*Table4[Shiping per kg]</f>
        <v>324.61686437880002</v>
      </c>
      <c r="H31" s="3"/>
      <c r="I31" s="3">
        <f>(Table2[[#This Row],[Total Value]]/Table2[[#This Row],[Order Quantity]])+(Table2[[#This Row],[Shipping Cost]]/Table2[[#This Row],[Order Quantity]])+(Table2[[#This Row],[Taxes]]/Table2[[#This Row],[Order Quantity]])</f>
        <v>562.30843218940004</v>
      </c>
      <c r="J31" s="3">
        <f>Table2[[#This Row],[Total Value]]+Table2[[#This Row],[Shipping Cost]]+Table2[[#This Row],[Taxes]]</f>
        <v>1124.6168643788001</v>
      </c>
    </row>
    <row r="32" spans="1:12" x14ac:dyDescent="0.25">
      <c r="A32" t="s">
        <v>33</v>
      </c>
      <c r="B32" t="str">
        <f>IFERROR(VLOOKUP(Table2[[#This Row],[Product Name]],Table_0[],2,0),"")</f>
        <v>IG-IMLIRL</v>
      </c>
      <c r="C32" s="1">
        <v>3</v>
      </c>
      <c r="D32" s="3">
        <f>IFERROR(VLOOKUP(Table2[[#This Row],[Product Name]],Table_0[],7,0),"")</f>
        <v>120</v>
      </c>
      <c r="E32" s="3">
        <f>IFERROR(Table2[[#This Row],[Order Quantity]]*Table2[[#This Row],[Cost of 1 Pack]],"")</f>
        <v>360</v>
      </c>
      <c r="F32" s="4">
        <f>IFERROR((VLOOKUP(Table2[[#This Row],[Product Name]],Table_0[],10,0)/1000)*Table2[[#This Row],[Order Quantity]],"")</f>
        <v>1.98</v>
      </c>
      <c r="G32" s="3" cm="1">
        <f t="array" ref="G32">Table2[[#This Row],[Weight(kg)]]*Table4[Shiping per kg]</f>
        <v>2295.5049695357998</v>
      </c>
      <c r="H32" s="3"/>
      <c r="I32" s="3">
        <f>(Table2[[#This Row],[Total Value]]/Table2[[#This Row],[Order Quantity]])+(Table2[[#This Row],[Shipping Cost]]/Table2[[#This Row],[Order Quantity]])+(Table2[[#This Row],[Taxes]]/Table2[[#This Row],[Order Quantity]])</f>
        <v>885.16832317859996</v>
      </c>
      <c r="J32" s="3">
        <f>Table2[[#This Row],[Total Value]]+Table2[[#This Row],[Shipping Cost]]+Table2[[#This Row],[Taxes]]</f>
        <v>2655.5049695357998</v>
      </c>
    </row>
    <row r="33" spans="1:10" x14ac:dyDescent="0.25">
      <c r="A33" t="s">
        <v>34</v>
      </c>
      <c r="B33" t="str">
        <f>IFERROR(VLOOKUP(Table2[[#This Row],[Product Name]],Table_0[],2,0),"")</f>
        <v>IG-MPPG</v>
      </c>
      <c r="C33" s="1">
        <v>1</v>
      </c>
      <c r="D33" s="3">
        <f>IFERROR(VLOOKUP(Table2[[#This Row],[Product Name]],Table_0[],7,0),"")</f>
        <v>700</v>
      </c>
      <c r="E33" s="3">
        <f>IFERROR(Table2[[#This Row],[Order Quantity]]*Table2[[#This Row],[Cost of 1 Pack]],"")</f>
        <v>700</v>
      </c>
      <c r="F33" s="4">
        <f>IFERROR((VLOOKUP(Table2[[#This Row],[Product Name]],Table_0[],10,0)/1000)*Table2[[#This Row],[Order Quantity]],"")</f>
        <v>0.22</v>
      </c>
      <c r="G33" s="3" cm="1">
        <f t="array" ref="G33">Table2[[#This Row],[Weight(kg)]]*Table4[Shiping per kg]</f>
        <v>255.0561077262</v>
      </c>
      <c r="H33" s="3"/>
      <c r="I33" s="3">
        <f>(Table2[[#This Row],[Total Value]]/Table2[[#This Row],[Order Quantity]])+(Table2[[#This Row],[Shipping Cost]]/Table2[[#This Row],[Order Quantity]])+(Table2[[#This Row],[Taxes]]/Table2[[#This Row],[Order Quantity]])</f>
        <v>955.05610772620003</v>
      </c>
      <c r="J33" s="3">
        <f>Table2[[#This Row],[Total Value]]+Table2[[#This Row],[Shipping Cost]]+Table2[[#This Row],[Taxes]]</f>
        <v>955.05610772620003</v>
      </c>
    </row>
    <row r="34" spans="1:10" x14ac:dyDescent="0.25">
      <c r="A34" t="s">
        <v>35</v>
      </c>
      <c r="B34" t="str">
        <f>IFERROR(VLOOKUP(Table2[[#This Row],[Product Name]],Table_0[],2,0),"")</f>
        <v>IG-MPPL</v>
      </c>
      <c r="C34" s="1">
        <v>1</v>
      </c>
      <c r="D34" s="3">
        <f>IFERROR(VLOOKUP(Table2[[#This Row],[Product Name]],Table_0[],7,0),"")</f>
        <v>700</v>
      </c>
      <c r="E34" s="3">
        <f>IFERROR(Table2[[#This Row],[Order Quantity]]*Table2[[#This Row],[Cost of 1 Pack]],"")</f>
        <v>700</v>
      </c>
      <c r="F34" s="4">
        <f>IFERROR((VLOOKUP(Table2[[#This Row],[Product Name]],Table_0[],10,0)/1000)*Table2[[#This Row],[Order Quantity]],"")</f>
        <v>0.22</v>
      </c>
      <c r="G34" s="3" cm="1">
        <f t="array" ref="G34">Table2[[#This Row],[Weight(kg)]]*Table4[Shiping per kg]</f>
        <v>255.0561077262</v>
      </c>
      <c r="H34" s="3"/>
      <c r="I34" s="3">
        <f>(Table2[[#This Row],[Total Value]]/Table2[[#This Row],[Order Quantity]])+(Table2[[#This Row],[Shipping Cost]]/Table2[[#This Row],[Order Quantity]])+(Table2[[#This Row],[Taxes]]/Table2[[#This Row],[Order Quantity]])</f>
        <v>955.05610772620003</v>
      </c>
      <c r="J34" s="3">
        <f>Table2[[#This Row],[Total Value]]+Table2[[#This Row],[Shipping Cost]]+Table2[[#This Row],[Taxes]]</f>
        <v>955.05610772620003</v>
      </c>
    </row>
    <row r="35" spans="1:10" x14ac:dyDescent="0.25">
      <c r="A35" t="s">
        <v>36</v>
      </c>
      <c r="B35" t="str">
        <f>IFERROR(VLOOKUP(Table2[[#This Row],[Product Name]],Table_0[],2,0),"")</f>
        <v>IG-MPPO</v>
      </c>
      <c r="C35" s="1">
        <v>1</v>
      </c>
      <c r="D35" s="3">
        <f>IFERROR(VLOOKUP(Table2[[#This Row],[Product Name]],Table_0[],7,0),"")</f>
        <v>700</v>
      </c>
      <c r="E35" s="3">
        <f>IFERROR(Table2[[#This Row],[Order Quantity]]*Table2[[#This Row],[Cost of 1 Pack]],"")</f>
        <v>700</v>
      </c>
      <c r="F35" s="4">
        <f>IFERROR((VLOOKUP(Table2[[#This Row],[Product Name]],Table_0[],10,0)/1000)*Table2[[#This Row],[Order Quantity]],"")</f>
        <v>0.22</v>
      </c>
      <c r="G35" s="3" cm="1">
        <f t="array" ref="G35">Table2[[#This Row],[Weight(kg)]]*Table4[Shiping per kg]</f>
        <v>255.0561077262</v>
      </c>
      <c r="H35" s="3"/>
      <c r="I35" s="3">
        <f>(Table2[[#This Row],[Total Value]]/Table2[[#This Row],[Order Quantity]])+(Table2[[#This Row],[Shipping Cost]]/Table2[[#This Row],[Order Quantity]])+(Table2[[#This Row],[Taxes]]/Table2[[#This Row],[Order Quantity]])</f>
        <v>955.05610772620003</v>
      </c>
      <c r="J35" s="3">
        <f>Table2[[#This Row],[Total Value]]+Table2[[#This Row],[Shipping Cost]]+Table2[[#This Row],[Taxes]]</f>
        <v>955.05610772620003</v>
      </c>
    </row>
    <row r="36" spans="1:10" x14ac:dyDescent="0.25">
      <c r="A36" t="s">
        <v>37</v>
      </c>
      <c r="B36" t="str">
        <f>IFERROR(VLOOKUP(Table2[[#This Row],[Product Name]],Table_0[],2,0),"")</f>
        <v>IG-CDBRYGM</v>
      </c>
      <c r="C36" s="1">
        <v>48</v>
      </c>
      <c r="D36" s="3">
        <f>IFERROR(VLOOKUP(Table2[[#This Row],[Product Name]],Table_0[],7,0),"")</f>
        <v>5</v>
      </c>
      <c r="E36" s="3">
        <f>IFERROR(Table2[[#This Row],[Order Quantity]]*Table2[[#This Row],[Cost of 1 Pack]],"")</f>
        <v>240</v>
      </c>
      <c r="F36" s="4">
        <f>IFERROR((VLOOKUP(Table2[[#This Row],[Product Name]],Table_0[],10,0)/1000)*Table2[[#This Row],[Order Quantity]],"")</f>
        <v>0</v>
      </c>
      <c r="G36" s="3" cm="1">
        <f t="array" ref="G36">Table2[[#This Row],[Weight(kg)]]*Table4[Shiping per kg]</f>
        <v>0</v>
      </c>
      <c r="H36" s="3"/>
      <c r="I36" s="3">
        <f>(Table2[[#This Row],[Total Value]]/Table2[[#This Row],[Order Quantity]])+(Table2[[#This Row],[Shipping Cost]]/Table2[[#This Row],[Order Quantity]])+(Table2[[#This Row],[Taxes]]/Table2[[#This Row],[Order Quantity]])</f>
        <v>5</v>
      </c>
      <c r="J36" s="3">
        <f>Table2[[#This Row],[Total Value]]+Table2[[#This Row],[Shipping Cost]]+Table2[[#This Row],[Taxes]]</f>
        <v>240</v>
      </c>
    </row>
    <row r="37" spans="1:10" x14ac:dyDescent="0.25">
      <c r="A37" t="s">
        <v>39</v>
      </c>
      <c r="B37" t="str">
        <f>IFERROR(VLOOKUP(Table2[[#This Row],[Product Name]],Table_0[],2,0),"")</f>
        <v>IG-SKLTFF</v>
      </c>
      <c r="C37" s="1">
        <v>48</v>
      </c>
      <c r="D37" s="3">
        <f>IFERROR(VLOOKUP(Table2[[#This Row],[Product Name]],Table_0[],7,0),"")</f>
        <v>5</v>
      </c>
      <c r="E37" s="3">
        <f>IFERROR(Table2[[#This Row],[Order Quantity]]*Table2[[#This Row],[Cost of 1 Pack]],"")</f>
        <v>240</v>
      </c>
      <c r="F37" s="4">
        <f>IFERROR((VLOOKUP(Table2[[#This Row],[Product Name]],Table_0[],10,0)/1000)*Table2[[#This Row],[Order Quantity]],"")</f>
        <v>0</v>
      </c>
      <c r="G37" s="3" cm="1">
        <f t="array" ref="G37">Table2[[#This Row],[Weight(kg)]]*Table4[Shiping per kg]</f>
        <v>0</v>
      </c>
      <c r="H37" s="3"/>
      <c r="I37" s="3">
        <f>(Table2[[#This Row],[Total Value]]/Table2[[#This Row],[Order Quantity]])+(Table2[[#This Row],[Shipping Cost]]/Table2[[#This Row],[Order Quantity]])+(Table2[[#This Row],[Taxes]]/Table2[[#This Row],[Order Quantity]])</f>
        <v>5</v>
      </c>
      <c r="J37" s="3">
        <f>Table2[[#This Row],[Total Value]]+Table2[[#This Row],[Shipping Cost]]+Table2[[#This Row],[Taxes]]</f>
        <v>240</v>
      </c>
    </row>
    <row r="38" spans="1:10" x14ac:dyDescent="0.25">
      <c r="A38" t="s">
        <v>40</v>
      </c>
      <c r="B38" t="str">
        <f>IFERROR(VLOOKUP(Table2[[#This Row],[Product Name]],Table_0[],2,0),"")</f>
        <v>IG-SKLTFFS</v>
      </c>
      <c r="C38" s="1">
        <v>48</v>
      </c>
      <c r="D38" s="3">
        <f>IFERROR(VLOOKUP(Table2[[#This Row],[Product Name]],Table_0[],7,0),"")</f>
        <v>5</v>
      </c>
      <c r="E38" s="3">
        <f>IFERROR(Table2[[#This Row],[Order Quantity]]*Table2[[#This Row],[Cost of 1 Pack]],"")</f>
        <v>240</v>
      </c>
      <c r="F38" s="4">
        <f>IFERROR((VLOOKUP(Table2[[#This Row],[Product Name]],Table_0[],10,0)/1000)*Table2[[#This Row],[Order Quantity]],"")</f>
        <v>0</v>
      </c>
      <c r="G38" s="3" cm="1">
        <f t="array" ref="G38">Table2[[#This Row],[Weight(kg)]]*Table4[Shiping per kg]</f>
        <v>0</v>
      </c>
      <c r="H38" s="3"/>
      <c r="I38" s="3">
        <f>(Table2[[#This Row],[Total Value]]/Table2[[#This Row],[Order Quantity]])+(Table2[[#This Row],[Shipping Cost]]/Table2[[#This Row],[Order Quantity]])+(Table2[[#This Row],[Taxes]]/Table2[[#This Row],[Order Quantity]])</f>
        <v>5</v>
      </c>
      <c r="J38" s="3">
        <f>Table2[[#This Row],[Total Value]]+Table2[[#This Row],[Shipping Cost]]+Table2[[#This Row],[Taxes]]</f>
        <v>240</v>
      </c>
    </row>
    <row r="39" spans="1:10" x14ac:dyDescent="0.25">
      <c r="A39" t="s">
        <v>41</v>
      </c>
      <c r="B39" t="str">
        <f>IFERROR(VLOOKUP(Table2[[#This Row],[Product Name]],Table_0[],2,0),"")</f>
        <v>IG-SKLTFW</v>
      </c>
      <c r="C39" s="1">
        <v>48</v>
      </c>
      <c r="D39" s="3">
        <f>IFERROR(VLOOKUP(Table2[[#This Row],[Product Name]],Table_0[],7,0),"")</f>
        <v>5</v>
      </c>
      <c r="E39" s="3">
        <f>IFERROR(Table2[[#This Row],[Order Quantity]]*Table2[[#This Row],[Cost of 1 Pack]],"")</f>
        <v>240</v>
      </c>
      <c r="F39" s="4">
        <f>IFERROR((VLOOKUP(Table2[[#This Row],[Product Name]],Table_0[],10,0)/1000)*Table2[[#This Row],[Order Quantity]],"")</f>
        <v>0</v>
      </c>
      <c r="G39" s="3" cm="1">
        <f t="array" ref="G39">Table2[[#This Row],[Weight(kg)]]*Table4[Shiping per kg]</f>
        <v>0</v>
      </c>
      <c r="H39" s="3"/>
      <c r="I39" s="3">
        <f>(Table2[[#This Row],[Total Value]]/Table2[[#This Row],[Order Quantity]])+(Table2[[#This Row],[Shipping Cost]]/Table2[[#This Row],[Order Quantity]])+(Table2[[#This Row],[Taxes]]/Table2[[#This Row],[Order Quantity]])</f>
        <v>5</v>
      </c>
      <c r="J39" s="3">
        <f>Table2[[#This Row],[Total Value]]+Table2[[#This Row],[Shipping Cost]]+Table2[[#This Row],[Taxes]]</f>
        <v>240</v>
      </c>
    </row>
    <row r="40" spans="1:10" x14ac:dyDescent="0.25">
      <c r="A40" t="s">
        <v>42</v>
      </c>
      <c r="B40" t="str">
        <f>IFERROR(VLOOKUP(Table2[[#This Row],[Product Name]],Table_0[],2,0),"")</f>
        <v>IG-HAPYWV</v>
      </c>
      <c r="C40" s="1">
        <v>1</v>
      </c>
      <c r="D40" s="3">
        <f>IFERROR(VLOOKUP(Table2[[#This Row],[Product Name]],Table_0[],7,0),"")</f>
        <v>180</v>
      </c>
      <c r="E40" s="3">
        <f>IFERROR(Table2[[#This Row],[Order Quantity]]*Table2[[#This Row],[Cost of 1 Pack]],"")</f>
        <v>180</v>
      </c>
      <c r="F40" s="4">
        <f>IFERROR((VLOOKUP(Table2[[#This Row],[Product Name]],Table_0[],10,0)/1000)*Table2[[#This Row],[Order Quantity]],"")</f>
        <v>0.26500000000000001</v>
      </c>
      <c r="G40" s="3" cm="1">
        <f t="array" ref="G40">Table2[[#This Row],[Weight(kg)]]*Table4[Shiping per kg]</f>
        <v>307.22667521565</v>
      </c>
      <c r="H40" s="3"/>
      <c r="I40" s="3">
        <f>(Table2[[#This Row],[Total Value]]/Table2[[#This Row],[Order Quantity]])+(Table2[[#This Row],[Shipping Cost]]/Table2[[#This Row],[Order Quantity]])+(Table2[[#This Row],[Taxes]]/Table2[[#This Row],[Order Quantity]])</f>
        <v>487.22667521565</v>
      </c>
      <c r="J40" s="3">
        <f>Table2[[#This Row],[Total Value]]+Table2[[#This Row],[Shipping Cost]]+Table2[[#This Row],[Taxes]]</f>
        <v>487.22667521565</v>
      </c>
    </row>
    <row r="41" spans="1:10" x14ac:dyDescent="0.25">
      <c r="A41" t="s">
        <v>43</v>
      </c>
      <c r="B41" t="str">
        <f>IFERROR(VLOOKUP(Table2[[#This Row],[Product Name]],Table_0[],2,0),"")</f>
        <v>IG-HAPYWT</v>
      </c>
      <c r="C41" s="1">
        <v>1</v>
      </c>
      <c r="D41" s="3">
        <f>IFERROR(VLOOKUP(Table2[[#This Row],[Product Name]],Table_0[],7,0),"")</f>
        <v>180</v>
      </c>
      <c r="E41" s="3">
        <f>IFERROR(Table2[[#This Row],[Order Quantity]]*Table2[[#This Row],[Cost of 1 Pack]],"")</f>
        <v>180</v>
      </c>
      <c r="F41" s="4">
        <f>IFERROR((VLOOKUP(Table2[[#This Row],[Product Name]],Table_0[],10,0)/1000)*Table2[[#This Row],[Order Quantity]],"")</f>
        <v>0.27700000000000002</v>
      </c>
      <c r="G41" s="3" cm="1">
        <f t="array" ref="G41">Table2[[#This Row],[Weight(kg)]]*Table4[Shiping per kg]</f>
        <v>321.13882654617004</v>
      </c>
      <c r="H41" s="3"/>
      <c r="I41" s="3">
        <f>(Table2[[#This Row],[Total Value]]/Table2[[#This Row],[Order Quantity]])+(Table2[[#This Row],[Shipping Cost]]/Table2[[#This Row],[Order Quantity]])+(Table2[[#This Row],[Taxes]]/Table2[[#This Row],[Order Quantity]])</f>
        <v>501.13882654617004</v>
      </c>
      <c r="J41" s="3">
        <f>Table2[[#This Row],[Total Value]]+Table2[[#This Row],[Shipping Cost]]+Table2[[#This Row],[Taxes]]</f>
        <v>501.13882654617004</v>
      </c>
    </row>
    <row r="42" spans="1:10" x14ac:dyDescent="0.25">
      <c r="A42" t="s">
        <v>44</v>
      </c>
      <c r="B42" t="str">
        <f>IFERROR(VLOOKUP(Table2[[#This Row],[Product Name]],Table_0[],2,0),"")</f>
        <v>IG-HBCZM</v>
      </c>
      <c r="C42" s="1">
        <v>2</v>
      </c>
      <c r="D42" s="3">
        <f>IFERROR(VLOOKUP(Table2[[#This Row],[Product Name]],Table_0[],7,0),"")</f>
        <v>167</v>
      </c>
      <c r="E42" s="3">
        <f>IFERROR(Table2[[#This Row],[Order Quantity]]*Table2[[#This Row],[Cost of 1 Pack]],"")</f>
        <v>334</v>
      </c>
      <c r="F42" s="4">
        <f>IFERROR((VLOOKUP(Table2[[#This Row],[Product Name]],Table_0[],10,0)/1000)*Table2[[#This Row],[Order Quantity]],"")</f>
        <v>1.3360000000000001</v>
      </c>
      <c r="G42" s="3" cm="1">
        <f t="array" ref="G42">Table2[[#This Row],[Weight(kg)]]*Table4[Shiping per kg]</f>
        <v>1548.88618146456</v>
      </c>
      <c r="H42" s="3"/>
      <c r="I42" s="3">
        <f>(Table2[[#This Row],[Total Value]]/Table2[[#This Row],[Order Quantity]])+(Table2[[#This Row],[Shipping Cost]]/Table2[[#This Row],[Order Quantity]])+(Table2[[#This Row],[Taxes]]/Table2[[#This Row],[Order Quantity]])</f>
        <v>941.44309073227998</v>
      </c>
      <c r="J42" s="3">
        <f>Table2[[#This Row],[Total Value]]+Table2[[#This Row],[Shipping Cost]]+Table2[[#This Row],[Taxes]]</f>
        <v>1882.88618146456</v>
      </c>
    </row>
    <row r="43" spans="1:10" x14ac:dyDescent="0.25">
      <c r="A43" t="s">
        <v>45</v>
      </c>
      <c r="B43" t="str">
        <f>IFERROR(VLOOKUP(Table2[[#This Row],[Product Name]],Table_0[],2,0),"")</f>
        <v>IG-HBCZL</v>
      </c>
      <c r="C43" s="1">
        <v>2</v>
      </c>
      <c r="D43" s="3">
        <f>IFERROR(VLOOKUP(Table2[[#This Row],[Product Name]],Table_0[],7,0),"")</f>
        <v>167</v>
      </c>
      <c r="E43" s="3">
        <f>IFERROR(Table2[[#This Row],[Order Quantity]]*Table2[[#This Row],[Cost of 1 Pack]],"")</f>
        <v>334</v>
      </c>
      <c r="F43" s="4">
        <f>IFERROR((VLOOKUP(Table2[[#This Row],[Product Name]],Table_0[],10,0)/1000)*Table2[[#This Row],[Order Quantity]],"")</f>
        <v>1.3360000000000001</v>
      </c>
      <c r="G43" s="3" cm="1">
        <f t="array" ref="G43">Table2[[#This Row],[Weight(kg)]]*Table4[Shiping per kg]</f>
        <v>1548.88618146456</v>
      </c>
      <c r="H43" s="3"/>
      <c r="I43" s="3">
        <f>(Table2[[#This Row],[Total Value]]/Table2[[#This Row],[Order Quantity]])+(Table2[[#This Row],[Shipping Cost]]/Table2[[#This Row],[Order Quantity]])+(Table2[[#This Row],[Taxes]]/Table2[[#This Row],[Order Quantity]])</f>
        <v>941.44309073227998</v>
      </c>
      <c r="J43" s="3">
        <f>Table2[[#This Row],[Total Value]]+Table2[[#This Row],[Shipping Cost]]+Table2[[#This Row],[Taxes]]</f>
        <v>1882.88618146456</v>
      </c>
    </row>
    <row r="44" spans="1:10" x14ac:dyDescent="0.25">
      <c r="A44" t="s">
        <v>46</v>
      </c>
      <c r="B44" t="str">
        <f>IFERROR(VLOOKUP(Table2[[#This Row],[Product Name]],Table_0[],2,0),"")</f>
        <v>IG-HGRYHVST</v>
      </c>
      <c r="C44" s="1">
        <v>2</v>
      </c>
      <c r="D44" s="3">
        <f>IFERROR(VLOOKUP(Table2[[#This Row],[Product Name]],Table_0[],7,0),"")</f>
        <v>300</v>
      </c>
      <c r="E44" s="3">
        <f>IFERROR(Table2[[#This Row],[Order Quantity]]*Table2[[#This Row],[Cost of 1 Pack]],"")</f>
        <v>600</v>
      </c>
      <c r="F44" s="4">
        <f>IFERROR((VLOOKUP(Table2[[#This Row],[Product Name]],Table_0[],10,0)/1000)*Table2[[#This Row],[Order Quantity]],"")</f>
        <v>0</v>
      </c>
      <c r="G44" s="3" cm="1">
        <f t="array" ref="G44">Table2[[#This Row],[Weight(kg)]]*Table4[Shiping per kg]</f>
        <v>0</v>
      </c>
      <c r="H44" s="3"/>
      <c r="I44" s="3">
        <f>(Table2[[#This Row],[Total Value]]/Table2[[#This Row],[Order Quantity]])+(Table2[[#This Row],[Shipping Cost]]/Table2[[#This Row],[Order Quantity]])+(Table2[[#This Row],[Taxes]]/Table2[[#This Row],[Order Quantity]])</f>
        <v>300</v>
      </c>
      <c r="J44" s="3">
        <f>Table2[[#This Row],[Total Value]]+Table2[[#This Row],[Shipping Cost]]+Table2[[#This Row],[Taxes]]</f>
        <v>600</v>
      </c>
    </row>
    <row r="45" spans="1:10" x14ac:dyDescent="0.25">
      <c r="A45" t="s">
        <v>47</v>
      </c>
      <c r="B45" t="str">
        <f>IFERROR(VLOOKUP(Table2[[#This Row],[Product Name]],Table_0[],2,0),"")</f>
        <v>IG-IMLILDU</v>
      </c>
      <c r="C45" s="1">
        <v>29</v>
      </c>
      <c r="D45" s="3">
        <f>IFERROR(VLOOKUP(Table2[[#This Row],[Product Name]],Table_0[],7,0),"")</f>
        <v>30</v>
      </c>
      <c r="E45" s="3">
        <f>IFERROR(Table2[[#This Row],[Order Quantity]]*Table2[[#This Row],[Cost of 1 Pack]],"")</f>
        <v>870</v>
      </c>
      <c r="F45" s="4">
        <f>IFERROR((VLOOKUP(Table2[[#This Row],[Product Name]],Table_0[],10,0)/1000)*Table2[[#This Row],[Order Quantity]],"")</f>
        <v>2.9000000000000004</v>
      </c>
      <c r="G45" s="3" cm="1">
        <f t="array" ref="G45">Table2[[#This Row],[Weight(kg)]]*Table4[Shiping per kg]</f>
        <v>3362.1032382090002</v>
      </c>
      <c r="H45" s="3"/>
      <c r="I45" s="3">
        <f>(Table2[[#This Row],[Total Value]]/Table2[[#This Row],[Order Quantity]])+(Table2[[#This Row],[Shipping Cost]]/Table2[[#This Row],[Order Quantity]])+(Table2[[#This Row],[Taxes]]/Table2[[#This Row],[Order Quantity]])</f>
        <v>145.93459442100001</v>
      </c>
      <c r="J45" s="3">
        <f>Table2[[#This Row],[Total Value]]+Table2[[#This Row],[Shipping Cost]]+Table2[[#This Row],[Taxes]]</f>
        <v>4232.1032382089998</v>
      </c>
    </row>
    <row r="46" spans="1:10" x14ac:dyDescent="0.25">
      <c r="A46" t="s">
        <v>48</v>
      </c>
      <c r="B46" t="str">
        <f>IFERROR(VLOOKUP(Table2[[#This Row],[Product Name]],Table_0[],2,0),"")</f>
        <v>IG-JALANIJAL</v>
      </c>
      <c r="C46" s="1">
        <v>2</v>
      </c>
      <c r="D46" s="3">
        <f>IFERROR(VLOOKUP(Table2[[#This Row],[Product Name]],Table_0[],7,0),"")</f>
        <v>50</v>
      </c>
      <c r="E46" s="3">
        <f>IFERROR(Table2[[#This Row],[Order Quantity]]*Table2[[#This Row],[Cost of 1 Pack]],"")</f>
        <v>100</v>
      </c>
      <c r="F46" s="4">
        <f>IFERROR((VLOOKUP(Table2[[#This Row],[Product Name]],Table_0[],10,0)/1000)*Table2[[#This Row],[Order Quantity]],"")</f>
        <v>0.2</v>
      </c>
      <c r="G46" s="3" cm="1">
        <f t="array" ref="G46">Table2[[#This Row],[Weight(kg)]]*Table4[Shiping per kg]</f>
        <v>231.869188842</v>
      </c>
      <c r="H46" s="3"/>
      <c r="I46" s="3">
        <f>(Table2[[#This Row],[Total Value]]/Table2[[#This Row],[Order Quantity]])+(Table2[[#This Row],[Shipping Cost]]/Table2[[#This Row],[Order Quantity]])+(Table2[[#This Row],[Taxes]]/Table2[[#This Row],[Order Quantity]])</f>
        <v>165.93459442099999</v>
      </c>
      <c r="J46" s="3">
        <f>Table2[[#This Row],[Total Value]]+Table2[[#This Row],[Shipping Cost]]+Table2[[#This Row],[Taxes]]</f>
        <v>331.86918884199997</v>
      </c>
    </row>
    <row r="47" spans="1:10" x14ac:dyDescent="0.25">
      <c r="A47" t="s">
        <v>49</v>
      </c>
      <c r="B47" t="str">
        <f>IFERROR(VLOOKUP(Table2[[#This Row],[Product Name]],Table_0[],2,0),"")</f>
        <v>IG-AMPNA</v>
      </c>
      <c r="C47" s="1">
        <v>2</v>
      </c>
      <c r="D47" s="3">
        <f>IFERROR(VLOOKUP(Table2[[#This Row],[Product Name]],Table_0[],7,0),"")</f>
        <v>60</v>
      </c>
      <c r="E47" s="3">
        <f>IFERROR(Table2[[#This Row],[Order Quantity]]*Table2[[#This Row],[Cost of 1 Pack]],"")</f>
        <v>120</v>
      </c>
      <c r="F47" s="4">
        <f>IFERROR((VLOOKUP(Table2[[#This Row],[Product Name]],Table_0[],10,0)/1000)*Table2[[#This Row],[Order Quantity]],"")</f>
        <v>0.24</v>
      </c>
      <c r="G47" s="3" cm="1">
        <f t="array" ref="G47">Table2[[#This Row],[Weight(kg)]]*Table4[Shiping per kg]</f>
        <v>278.24302661039997</v>
      </c>
      <c r="H47" s="3"/>
      <c r="I47" s="3">
        <f>(Table2[[#This Row],[Total Value]]/Table2[[#This Row],[Order Quantity]])+(Table2[[#This Row],[Shipping Cost]]/Table2[[#This Row],[Order Quantity]])+(Table2[[#This Row],[Taxes]]/Table2[[#This Row],[Order Quantity]])</f>
        <v>199.12151330519998</v>
      </c>
      <c r="J47" s="3">
        <f>Table2[[#This Row],[Total Value]]+Table2[[#This Row],[Shipping Cost]]+Table2[[#This Row],[Taxes]]</f>
        <v>398.24302661039997</v>
      </c>
    </row>
    <row r="48" spans="1:10" x14ac:dyDescent="0.25">
      <c r="A48" t="s">
        <v>50</v>
      </c>
      <c r="B48" t="str">
        <f>IFERROR(VLOOKUP(Table2[[#This Row],[Product Name]],Table_0[],2,0),"")</f>
        <v>IG-KHTORIJ</v>
      </c>
      <c r="C48" s="1">
        <v>3</v>
      </c>
      <c r="D48" s="3">
        <f>IFERROR(VLOOKUP(Table2[[#This Row],[Product Name]],Table_0[],7,0),"")</f>
        <v>150</v>
      </c>
      <c r="E48" s="3">
        <f>IFERROR(Table2[[#This Row],[Order Quantity]]*Table2[[#This Row],[Cost of 1 Pack]],"")</f>
        <v>450</v>
      </c>
      <c r="F48" s="4">
        <f>IFERROR((VLOOKUP(Table2[[#This Row],[Product Name]],Table_0[],10,0)/1000)*Table2[[#This Row],[Order Quantity]],"")</f>
        <v>2.25</v>
      </c>
      <c r="G48" s="3" cm="1">
        <f t="array" ref="G48">Table2[[#This Row],[Weight(kg)]]*Table4[Shiping per kg]</f>
        <v>2608.5283744724998</v>
      </c>
      <c r="H48" s="3"/>
      <c r="I48" s="3">
        <f>(Table2[[#This Row],[Total Value]]/Table2[[#This Row],[Order Quantity]])+(Table2[[#This Row],[Shipping Cost]]/Table2[[#This Row],[Order Quantity]])+(Table2[[#This Row],[Taxes]]/Table2[[#This Row],[Order Quantity]])</f>
        <v>1019.5094581574999</v>
      </c>
      <c r="J48" s="3">
        <f>Table2[[#This Row],[Total Value]]+Table2[[#This Row],[Shipping Cost]]+Table2[[#This Row],[Taxes]]</f>
        <v>3058.5283744724998</v>
      </c>
    </row>
    <row r="49" spans="1:10" x14ac:dyDescent="0.25">
      <c r="A49" t="s">
        <v>51</v>
      </c>
      <c r="B49" t="str">
        <f>IFERROR(VLOOKUP(Table2[[#This Row],[Product Name]],Table_0[],2,0),"")</f>
        <v>IG-LCHAP</v>
      </c>
      <c r="C49" s="1">
        <v>29</v>
      </c>
      <c r="D49" s="3">
        <f>IFERROR(VLOOKUP(Table2[[#This Row],[Product Name]],Table_0[],7,0),"")</f>
        <v>45</v>
      </c>
      <c r="E49" s="3">
        <f>IFERROR(Table2[[#This Row],[Order Quantity]]*Table2[[#This Row],[Cost of 1 Pack]],"")</f>
        <v>1305</v>
      </c>
      <c r="F49" s="4">
        <f>IFERROR((VLOOKUP(Table2[[#This Row],[Product Name]],Table_0[],10,0)/1000)*Table2[[#This Row],[Order Quantity]],"")</f>
        <v>0</v>
      </c>
      <c r="G49" s="3" cm="1">
        <f t="array" ref="G49">Table2[[#This Row],[Weight(kg)]]*Table4[Shiping per kg]</f>
        <v>0</v>
      </c>
      <c r="H49" s="3"/>
      <c r="I49" s="3">
        <f>(Table2[[#This Row],[Total Value]]/Table2[[#This Row],[Order Quantity]])+(Table2[[#This Row],[Shipping Cost]]/Table2[[#This Row],[Order Quantity]])+(Table2[[#This Row],[Taxes]]/Table2[[#This Row],[Order Quantity]])</f>
        <v>45</v>
      </c>
      <c r="J49" s="3">
        <f>Table2[[#This Row],[Total Value]]+Table2[[#This Row],[Shipping Cost]]+Table2[[#This Row],[Taxes]]</f>
        <v>1305</v>
      </c>
    </row>
    <row r="50" spans="1:10" x14ac:dyDescent="0.25">
      <c r="A50" t="s">
        <v>52</v>
      </c>
      <c r="B50" t="str">
        <f>IFERROR(VLOOKUP(Table2[[#This Row],[Product Name]],Table_0[],2,0),"")</f>
        <v>IG-LCHPANRD</v>
      </c>
      <c r="C50" s="1">
        <v>29</v>
      </c>
      <c r="D50" s="3">
        <f>IFERROR(VLOOKUP(Table2[[#This Row],[Product Name]],Table_0[],7,0),"")</f>
        <v>30</v>
      </c>
      <c r="E50" s="3">
        <f>IFERROR(Table2[[#This Row],[Order Quantity]]*Table2[[#This Row],[Cost of 1 Pack]],"")</f>
        <v>870</v>
      </c>
      <c r="F50" s="4">
        <f>IFERROR((VLOOKUP(Table2[[#This Row],[Product Name]],Table_0[],10,0)/1000)*Table2[[#This Row],[Order Quantity]],"")</f>
        <v>2.9000000000000004</v>
      </c>
      <c r="G50" s="3" cm="1">
        <f t="array" ref="G50">Table2[[#This Row],[Weight(kg)]]*Table4[Shiping per kg]</f>
        <v>3362.1032382090002</v>
      </c>
      <c r="H50" s="3"/>
      <c r="I50" s="3">
        <f>(Table2[[#This Row],[Total Value]]/Table2[[#This Row],[Order Quantity]])+(Table2[[#This Row],[Shipping Cost]]/Table2[[#This Row],[Order Quantity]])+(Table2[[#This Row],[Taxes]]/Table2[[#This Row],[Order Quantity]])</f>
        <v>145.93459442100001</v>
      </c>
      <c r="J50" s="3">
        <f>Table2[[#This Row],[Total Value]]+Table2[[#This Row],[Shipping Cost]]+Table2[[#This Row],[Taxes]]</f>
        <v>4232.1032382089998</v>
      </c>
    </row>
    <row r="51" spans="1:10" x14ac:dyDescent="0.25">
      <c r="A51" t="s">
        <v>53</v>
      </c>
      <c r="B51" t="str">
        <f>IFERROR(VLOOKUP(Table2[[#This Row],[Product Name]],Table_0[],2,0),"")</f>
        <v>IG-LCHPHRD</v>
      </c>
      <c r="C51" s="1">
        <v>29</v>
      </c>
      <c r="D51" s="3">
        <f>IFERROR(VLOOKUP(Table2[[#This Row],[Product Name]],Table_0[],7,0),"")</f>
        <v>30</v>
      </c>
      <c r="E51" s="3">
        <f>IFERROR(Table2[[#This Row],[Order Quantity]]*Table2[[#This Row],[Cost of 1 Pack]],"")</f>
        <v>870</v>
      </c>
      <c r="F51" s="4">
        <f>IFERROR((VLOOKUP(Table2[[#This Row],[Product Name]],Table_0[],10,0)/1000)*Table2[[#This Row],[Order Quantity]],"")</f>
        <v>2.9000000000000004</v>
      </c>
      <c r="G51" s="3" cm="1">
        <f t="array" ref="G51">Table2[[#This Row],[Weight(kg)]]*Table4[Shiping per kg]</f>
        <v>3362.1032382090002</v>
      </c>
      <c r="H51" s="3"/>
      <c r="I51" s="3">
        <f>(Table2[[#This Row],[Total Value]]/Table2[[#This Row],[Order Quantity]])+(Table2[[#This Row],[Shipping Cost]]/Table2[[#This Row],[Order Quantity]])+(Table2[[#This Row],[Taxes]]/Table2[[#This Row],[Order Quantity]])</f>
        <v>145.93459442100001</v>
      </c>
      <c r="J51" s="3">
        <f>Table2[[#This Row],[Total Value]]+Table2[[#This Row],[Shipping Cost]]+Table2[[#This Row],[Taxes]]</f>
        <v>4232.1032382089998</v>
      </c>
    </row>
    <row r="52" spans="1:10" x14ac:dyDescent="0.25">
      <c r="A52" t="s">
        <v>54</v>
      </c>
      <c r="B52" t="str">
        <f>IFERROR(VLOOKUP(Table2[[#This Row],[Product Name]],Table_0[],2,0),"")</f>
        <v>IG-LCHHZMA</v>
      </c>
      <c r="C52" s="1">
        <v>29</v>
      </c>
      <c r="D52" s="3">
        <f>IFERROR(VLOOKUP(Table2[[#This Row],[Product Name]],Table_0[],7,0),"")</f>
        <v>40</v>
      </c>
      <c r="E52" s="3">
        <f>IFERROR(Table2[[#This Row],[Order Quantity]]*Table2[[#This Row],[Cost of 1 Pack]],"")</f>
        <v>1160</v>
      </c>
      <c r="F52" s="4">
        <f>IFERROR((VLOOKUP(Table2[[#This Row],[Product Name]],Table_0[],10,0)/1000)*Table2[[#This Row],[Order Quantity]],"")</f>
        <v>2.9000000000000004</v>
      </c>
      <c r="G52" s="3" cm="1">
        <f t="array" ref="G52">Table2[[#This Row],[Weight(kg)]]*Table4[Shiping per kg]</f>
        <v>3362.1032382090002</v>
      </c>
      <c r="H52" s="3"/>
      <c r="I52" s="3">
        <f>(Table2[[#This Row],[Total Value]]/Table2[[#This Row],[Order Quantity]])+(Table2[[#This Row],[Shipping Cost]]/Table2[[#This Row],[Order Quantity]])+(Table2[[#This Row],[Taxes]]/Table2[[#This Row],[Order Quantity]])</f>
        <v>155.93459442100001</v>
      </c>
      <c r="J52" s="3">
        <f>Table2[[#This Row],[Total Value]]+Table2[[#This Row],[Shipping Cost]]+Table2[[#This Row],[Taxes]]</f>
        <v>4522.1032382089998</v>
      </c>
    </row>
    <row r="53" spans="1:10" x14ac:dyDescent="0.25">
      <c r="A53" t="s">
        <v>55</v>
      </c>
      <c r="B53" t="str">
        <f>IFERROR(VLOOKUP(Table2[[#This Row],[Product Name]],Table_0[],2,0),"")</f>
        <v>IG-LCHPHP</v>
      </c>
      <c r="C53" s="1">
        <v>29</v>
      </c>
      <c r="D53" s="3">
        <f>IFERROR(VLOOKUP(Table2[[#This Row],[Product Name]],Table_0[],7,0),"")</f>
        <v>30</v>
      </c>
      <c r="E53" s="3">
        <f>IFERROR(Table2[[#This Row],[Order Quantity]]*Table2[[#This Row],[Cost of 1 Pack]],"")</f>
        <v>870</v>
      </c>
      <c r="F53" s="4">
        <f>IFERROR((VLOOKUP(Table2[[#This Row],[Product Name]],Table_0[],10,0)/1000)*Table2[[#This Row],[Order Quantity]],"")</f>
        <v>2.9000000000000004</v>
      </c>
      <c r="G53" s="3" cm="1">
        <f t="array" ref="G53">Table2[[#This Row],[Weight(kg)]]*Table4[Shiping per kg]</f>
        <v>3362.1032382090002</v>
      </c>
      <c r="H53" s="3"/>
      <c r="I53" s="3">
        <f>(Table2[[#This Row],[Total Value]]/Table2[[#This Row],[Order Quantity]])+(Table2[[#This Row],[Shipping Cost]]/Table2[[#This Row],[Order Quantity]])+(Table2[[#This Row],[Taxes]]/Table2[[#This Row],[Order Quantity]])</f>
        <v>145.93459442100001</v>
      </c>
      <c r="J53" s="3">
        <f>Table2[[#This Row],[Total Value]]+Table2[[#This Row],[Shipping Cost]]+Table2[[#This Row],[Taxes]]</f>
        <v>4232.1032382089998</v>
      </c>
    </row>
    <row r="54" spans="1:10" x14ac:dyDescent="0.25">
      <c r="A54" t="s">
        <v>56</v>
      </c>
      <c r="B54" t="str">
        <f>IFERROR(VLOOKUP(Table2[[#This Row],[Product Name]],Table_0[],2,0),"")</f>
        <v>IG-LCHIB</v>
      </c>
      <c r="C54" s="1">
        <v>29</v>
      </c>
      <c r="D54" s="3">
        <f>IFERROR(VLOOKUP(Table2[[#This Row],[Product Name]],Table_0[],7,0),"")</f>
        <v>40</v>
      </c>
      <c r="E54" s="3">
        <f>IFERROR(Table2[[#This Row],[Order Quantity]]*Table2[[#This Row],[Cost of 1 Pack]],"")</f>
        <v>1160</v>
      </c>
      <c r="F54" s="4">
        <f>IFERROR((VLOOKUP(Table2[[#This Row],[Product Name]],Table_0[],10,0)/1000)*Table2[[#This Row],[Order Quantity]],"")</f>
        <v>2.9000000000000004</v>
      </c>
      <c r="G54" s="3" cm="1">
        <f t="array" ref="G54">Table2[[#This Row],[Weight(kg)]]*Table4[Shiping per kg]</f>
        <v>3362.1032382090002</v>
      </c>
      <c r="H54" s="3"/>
      <c r="I54" s="3">
        <f>(Table2[[#This Row],[Total Value]]/Table2[[#This Row],[Order Quantity]])+(Table2[[#This Row],[Shipping Cost]]/Table2[[#This Row],[Order Quantity]])+(Table2[[#This Row],[Taxes]]/Table2[[#This Row],[Order Quantity]])</f>
        <v>155.93459442100001</v>
      </c>
      <c r="J54" s="3">
        <f>Table2[[#This Row],[Total Value]]+Table2[[#This Row],[Shipping Cost]]+Table2[[#This Row],[Taxes]]</f>
        <v>4522.1032382089998</v>
      </c>
    </row>
    <row r="55" spans="1:10" x14ac:dyDescent="0.25">
      <c r="A55" t="s">
        <v>57</v>
      </c>
      <c r="B55" t="str">
        <f>IFERROR(VLOOKUP(Table2[[#This Row],[Product Name]],Table_0[],2,0),"")</f>
        <v>IG-LCHKMC</v>
      </c>
      <c r="C55" s="1">
        <v>29</v>
      </c>
      <c r="D55" s="3">
        <f>IFERROR(VLOOKUP(Table2[[#This Row],[Product Name]],Table_0[],7,0),"")</f>
        <v>35</v>
      </c>
      <c r="E55" s="3">
        <f>IFERROR(Table2[[#This Row],[Order Quantity]]*Table2[[#This Row],[Cost of 1 Pack]],"")</f>
        <v>1015</v>
      </c>
      <c r="F55" s="4">
        <f>IFERROR((VLOOKUP(Table2[[#This Row],[Product Name]],Table_0[],10,0)/1000)*Table2[[#This Row],[Order Quantity]],"")</f>
        <v>2.9000000000000004</v>
      </c>
      <c r="G55" s="3" cm="1">
        <f t="array" ref="G55">Table2[[#This Row],[Weight(kg)]]*Table4[Shiping per kg]</f>
        <v>3362.1032382090002</v>
      </c>
      <c r="H55" s="3"/>
      <c r="I55" s="3">
        <f>(Table2[[#This Row],[Total Value]]/Table2[[#This Row],[Order Quantity]])+(Table2[[#This Row],[Shipping Cost]]/Table2[[#This Row],[Order Quantity]])+(Table2[[#This Row],[Taxes]]/Table2[[#This Row],[Order Quantity]])</f>
        <v>150.93459442100001</v>
      </c>
      <c r="J55" s="3">
        <f>Table2[[#This Row],[Total Value]]+Table2[[#This Row],[Shipping Cost]]+Table2[[#This Row],[Taxes]]</f>
        <v>4377.1032382089998</v>
      </c>
    </row>
    <row r="56" spans="1:10" x14ac:dyDescent="0.25">
      <c r="A56" t="s">
        <v>58</v>
      </c>
      <c r="B56" t="str">
        <f>IFERROR(VLOOKUP(Table2[[#This Row],[Product Name]],Table_0[],2,0),"")</f>
        <v>IG-LCHKP</v>
      </c>
      <c r="C56" s="1">
        <v>29</v>
      </c>
      <c r="D56" s="3">
        <f>IFERROR(VLOOKUP(Table2[[#This Row],[Product Name]],Table_0[],7,0),"")</f>
        <v>40</v>
      </c>
      <c r="E56" s="3">
        <f>IFERROR(Table2[[#This Row],[Order Quantity]]*Table2[[#This Row],[Cost of 1 Pack]],"")</f>
        <v>1160</v>
      </c>
      <c r="F56" s="4">
        <f>IFERROR((VLOOKUP(Table2[[#This Row],[Product Name]],Table_0[],10,0)/1000)*Table2[[#This Row],[Order Quantity]],"")</f>
        <v>2.9000000000000004</v>
      </c>
      <c r="G56" s="3" cm="1">
        <f t="array" ref="G56">Table2[[#This Row],[Weight(kg)]]*Table4[Shiping per kg]</f>
        <v>3362.1032382090002</v>
      </c>
      <c r="H56" s="3"/>
      <c r="I56" s="3">
        <f>(Table2[[#This Row],[Total Value]]/Table2[[#This Row],[Order Quantity]])+(Table2[[#This Row],[Shipping Cost]]/Table2[[#This Row],[Order Quantity]])+(Table2[[#This Row],[Taxes]]/Table2[[#This Row],[Order Quantity]])</f>
        <v>155.93459442100001</v>
      </c>
      <c r="J56" s="3">
        <f>Table2[[#This Row],[Total Value]]+Table2[[#This Row],[Shipping Cost]]+Table2[[#This Row],[Taxes]]</f>
        <v>4522.1032382089998</v>
      </c>
    </row>
    <row r="57" spans="1:10" x14ac:dyDescent="0.25">
      <c r="A57" t="s">
        <v>59</v>
      </c>
      <c r="B57" t="str">
        <f>IFERROR(VLOOKUP(Table2[[#This Row],[Product Name]],Table_0[],2,0),"")</f>
        <v>IG-PODINAL</v>
      </c>
      <c r="C57" s="1">
        <v>29</v>
      </c>
      <c r="D57" s="3">
        <f>IFERROR(VLOOKUP(Table2[[#This Row],[Product Name]],Table_0[],7,0),"")</f>
        <v>40</v>
      </c>
      <c r="E57" s="3">
        <f>IFERROR(Table2[[#This Row],[Order Quantity]]*Table2[[#This Row],[Cost of 1 Pack]],"")</f>
        <v>1160</v>
      </c>
      <c r="F57" s="4">
        <f>IFERROR((VLOOKUP(Table2[[#This Row],[Product Name]],Table_0[],10,0)/1000)*Table2[[#This Row],[Order Quantity]],"")</f>
        <v>2.9000000000000004</v>
      </c>
      <c r="G57" s="3" cm="1">
        <f t="array" ref="G57">Table2[[#This Row],[Weight(kg)]]*Table4[Shiping per kg]</f>
        <v>3362.1032382090002</v>
      </c>
      <c r="H57" s="3"/>
      <c r="I57" s="3">
        <f>(Table2[[#This Row],[Total Value]]/Table2[[#This Row],[Order Quantity]])+(Table2[[#This Row],[Shipping Cost]]/Table2[[#This Row],[Order Quantity]])+(Table2[[#This Row],[Taxes]]/Table2[[#This Row],[Order Quantity]])</f>
        <v>155.93459442100001</v>
      </c>
      <c r="J57" s="3">
        <f>Table2[[#This Row],[Total Value]]+Table2[[#This Row],[Shipping Cost]]+Table2[[#This Row],[Taxes]]</f>
        <v>4522.1032382089998</v>
      </c>
    </row>
    <row r="58" spans="1:10" x14ac:dyDescent="0.25">
      <c r="A58" t="s">
        <v>60</v>
      </c>
      <c r="B58" t="str">
        <f>IFERROR(VLOOKUP(Table2[[#This Row],[Product Name]],Table_0[],2,0),"")</f>
        <v>IG-LCHKMA</v>
      </c>
      <c r="C58" s="1">
        <v>29</v>
      </c>
      <c r="D58" s="3">
        <f>IFERROR(VLOOKUP(Table2[[#This Row],[Product Name]],Table_0[],7,0),"")</f>
        <v>35</v>
      </c>
      <c r="E58" s="3">
        <f>IFERROR(Table2[[#This Row],[Order Quantity]]*Table2[[#This Row],[Cost of 1 Pack]],"")</f>
        <v>1015</v>
      </c>
      <c r="F58" s="4">
        <f>IFERROR((VLOOKUP(Table2[[#This Row],[Product Name]],Table_0[],10,0)/1000)*Table2[[#This Row],[Order Quantity]],"")</f>
        <v>2.9000000000000004</v>
      </c>
      <c r="G58" s="3" cm="1">
        <f t="array" ref="G58">Table2[[#This Row],[Weight(kg)]]*Table4[Shiping per kg]</f>
        <v>3362.1032382090002</v>
      </c>
      <c r="H58" s="3"/>
      <c r="I58" s="3">
        <f>(Table2[[#This Row],[Total Value]]/Table2[[#This Row],[Order Quantity]])+(Table2[[#This Row],[Shipping Cost]]/Table2[[#This Row],[Order Quantity]])+(Table2[[#This Row],[Taxes]]/Table2[[#This Row],[Order Quantity]])</f>
        <v>150.93459442100001</v>
      </c>
      <c r="J58" s="3">
        <f>Table2[[#This Row],[Total Value]]+Table2[[#This Row],[Shipping Cost]]+Table2[[#This Row],[Taxes]]</f>
        <v>4377.1032382089998</v>
      </c>
    </row>
    <row r="59" spans="1:10" x14ac:dyDescent="0.25">
      <c r="A59" t="s">
        <v>61</v>
      </c>
      <c r="B59" t="str">
        <f>IFERROR(VLOOKUP(Table2[[#This Row],[Product Name]],Table_0[],2,0),"")</f>
        <v>IG-LCTOKNG</v>
      </c>
      <c r="C59" s="1">
        <v>3</v>
      </c>
      <c r="D59" s="3">
        <f>IFERROR(VLOOKUP(Table2[[#This Row],[Product Name]],Table_0[],7,0),"")</f>
        <v>200</v>
      </c>
      <c r="E59" s="3">
        <f>IFERROR(Table2[[#This Row],[Order Quantity]]*Table2[[#This Row],[Cost of 1 Pack]],"")</f>
        <v>600</v>
      </c>
      <c r="F59" s="4">
        <f>IFERROR((VLOOKUP(Table2[[#This Row],[Product Name]],Table_0[],10,0)/1000)*Table2[[#This Row],[Order Quantity]],"")</f>
        <v>2.0699999999999998</v>
      </c>
      <c r="G59" s="3" cm="1">
        <f t="array" ref="G59">Table2[[#This Row],[Weight(kg)]]*Table4[Shiping per kg]</f>
        <v>2399.8461045146996</v>
      </c>
      <c r="H59" s="3"/>
      <c r="I59" s="3">
        <f>(Table2[[#This Row],[Total Value]]/Table2[[#This Row],[Order Quantity]])+(Table2[[#This Row],[Shipping Cost]]/Table2[[#This Row],[Order Quantity]])+(Table2[[#This Row],[Taxes]]/Table2[[#This Row],[Order Quantity]])</f>
        <v>999.94870150489987</v>
      </c>
      <c r="J59" s="3">
        <f>Table2[[#This Row],[Total Value]]+Table2[[#This Row],[Shipping Cost]]+Table2[[#This Row],[Taxes]]</f>
        <v>2999.8461045146996</v>
      </c>
    </row>
    <row r="60" spans="1:10" x14ac:dyDescent="0.25">
      <c r="A60" t="s">
        <v>62</v>
      </c>
      <c r="B60" t="str">
        <f>IFERROR(VLOOKUP(Table2[[#This Row],[Product Name]],Table_0[],2,0),"")</f>
        <v>IG-MAGGIEMS</v>
      </c>
      <c r="C60" s="1">
        <v>2</v>
      </c>
      <c r="D60" s="3">
        <f>IFERROR(VLOOKUP(Table2[[#This Row],[Product Name]],Table_0[],7,0),"")</f>
        <v>240</v>
      </c>
      <c r="E60" s="3">
        <f>IFERROR(Table2[[#This Row],[Order Quantity]]*Table2[[#This Row],[Cost of 1 Pack]],"")</f>
        <v>480</v>
      </c>
      <c r="F60" s="4">
        <f>IFERROR((VLOOKUP(Table2[[#This Row],[Product Name]],Table_0[],10,0)/1000)*Table2[[#This Row],[Order Quantity]],"")</f>
        <v>0.57599999999999996</v>
      </c>
      <c r="G60" s="3" cm="1">
        <f t="array" ref="G60">Table2[[#This Row],[Weight(kg)]]*Table4[Shiping per kg]</f>
        <v>667.78326386495996</v>
      </c>
      <c r="H60" s="3"/>
      <c r="I60" s="3">
        <f>(Table2[[#This Row],[Total Value]]/Table2[[#This Row],[Order Quantity]])+(Table2[[#This Row],[Shipping Cost]]/Table2[[#This Row],[Order Quantity]])+(Table2[[#This Row],[Taxes]]/Table2[[#This Row],[Order Quantity]])</f>
        <v>573.89163193247998</v>
      </c>
      <c r="J60" s="3">
        <f>Table2[[#This Row],[Total Value]]+Table2[[#This Row],[Shipping Cost]]+Table2[[#This Row],[Taxes]]</f>
        <v>1147.78326386496</v>
      </c>
    </row>
    <row r="61" spans="1:10" x14ac:dyDescent="0.25">
      <c r="A61" t="s">
        <v>63</v>
      </c>
      <c r="B61" t="str">
        <f>IFERROR(VLOOKUP(Table2[[#This Row],[Product Name]],Table_0[],2,0),"")</f>
        <v>IG-MCHLLIMLI</v>
      </c>
      <c r="C61" s="1">
        <v>29</v>
      </c>
      <c r="D61" s="3">
        <f>IFERROR(VLOOKUP(Table2[[#This Row],[Product Name]],Table_0[],7,0),"")</f>
        <v>50</v>
      </c>
      <c r="E61" s="3">
        <f>IFERROR(Table2[[#This Row],[Order Quantity]]*Table2[[#This Row],[Cost of 1 Pack]],"")</f>
        <v>1450</v>
      </c>
      <c r="F61" s="4">
        <f>IFERROR((VLOOKUP(Table2[[#This Row],[Product Name]],Table_0[],10,0)/1000)*Table2[[#This Row],[Order Quantity]],"")</f>
        <v>2.9000000000000004</v>
      </c>
      <c r="G61" s="3" cm="1">
        <f t="array" ref="G61">Table2[[#This Row],[Weight(kg)]]*Table4[Shiping per kg]</f>
        <v>3362.1032382090002</v>
      </c>
      <c r="H61" s="3"/>
      <c r="I61" s="3">
        <f>(Table2[[#This Row],[Total Value]]/Table2[[#This Row],[Order Quantity]])+(Table2[[#This Row],[Shipping Cost]]/Table2[[#This Row],[Order Quantity]])+(Table2[[#This Row],[Taxes]]/Table2[[#This Row],[Order Quantity]])</f>
        <v>165.93459442100001</v>
      </c>
      <c r="J61" s="3">
        <f>Table2[[#This Row],[Total Value]]+Table2[[#This Row],[Shipping Cost]]+Table2[[#This Row],[Taxes]]</f>
        <v>4812.1032382089998</v>
      </c>
    </row>
    <row r="62" spans="1:10" x14ac:dyDescent="0.25">
      <c r="A62" t="s">
        <v>64</v>
      </c>
      <c r="B62" t="str">
        <f>IFERROR(VLOOKUP(Table2[[#This Row],[Product Name]],Table_0[],2,0),"")</f>
        <v>IG-MCSG</v>
      </c>
      <c r="C62" s="1">
        <v>29</v>
      </c>
      <c r="D62" s="3">
        <f>IFERROR(VLOOKUP(Table2[[#This Row],[Product Name]],Table_0[],7,0),"")</f>
        <v>35</v>
      </c>
      <c r="E62" s="3">
        <f>IFERROR(Table2[[#This Row],[Order Quantity]]*Table2[[#This Row],[Cost of 1 Pack]],"")</f>
        <v>1015</v>
      </c>
      <c r="F62" s="4">
        <f>IFERROR((VLOOKUP(Table2[[#This Row],[Product Name]],Table_0[],10,0)/1000)*Table2[[#This Row],[Order Quantity]],"")</f>
        <v>2.9000000000000004</v>
      </c>
      <c r="G62" s="3" cm="1">
        <f t="array" ref="G62">Table2[[#This Row],[Weight(kg)]]*Table4[Shiping per kg]</f>
        <v>3362.1032382090002</v>
      </c>
      <c r="H62" s="3"/>
      <c r="I62" s="3">
        <f>(Table2[[#This Row],[Total Value]]/Table2[[#This Row],[Order Quantity]])+(Table2[[#This Row],[Shipping Cost]]/Table2[[#This Row],[Order Quantity]])+(Table2[[#This Row],[Taxes]]/Table2[[#This Row],[Order Quantity]])</f>
        <v>150.93459442100001</v>
      </c>
      <c r="J62" s="3">
        <f>Table2[[#This Row],[Total Value]]+Table2[[#This Row],[Shipping Cost]]+Table2[[#This Row],[Taxes]]</f>
        <v>4377.1032382089998</v>
      </c>
    </row>
    <row r="63" spans="1:10" x14ac:dyDescent="0.25">
      <c r="A63" t="s">
        <v>65</v>
      </c>
      <c r="B63" t="str">
        <f>IFERROR(VLOOKUP(Table2[[#This Row],[Product Name]],Table_0[],2,0),"")</f>
        <v>IG-MPMS</v>
      </c>
      <c r="C63" s="1">
        <v>29</v>
      </c>
      <c r="D63" s="3">
        <f>IFERROR(VLOOKUP(Table2[[#This Row],[Product Name]],Table_0[],7,0),"")</f>
        <v>35</v>
      </c>
      <c r="E63" s="3">
        <f>IFERROR(Table2[[#This Row],[Order Quantity]]*Table2[[#This Row],[Cost of 1 Pack]],"")</f>
        <v>1015</v>
      </c>
      <c r="F63" s="4">
        <f>IFERROR((VLOOKUP(Table2[[#This Row],[Product Name]],Table_0[],10,0)/1000)*Table2[[#This Row],[Order Quantity]],"")</f>
        <v>2.9000000000000004</v>
      </c>
      <c r="G63" s="3" cm="1">
        <f t="array" ref="G63">Table2[[#This Row],[Weight(kg)]]*Table4[Shiping per kg]</f>
        <v>3362.1032382090002</v>
      </c>
      <c r="H63" s="3"/>
      <c r="I63" s="3">
        <f>(Table2[[#This Row],[Total Value]]/Table2[[#This Row],[Order Quantity]])+(Table2[[#This Row],[Shipping Cost]]/Table2[[#This Row],[Order Quantity]])+(Table2[[#This Row],[Taxes]]/Table2[[#This Row],[Order Quantity]])</f>
        <v>150.93459442100001</v>
      </c>
      <c r="J63" s="3">
        <f>Table2[[#This Row],[Total Value]]+Table2[[#This Row],[Shipping Cost]]+Table2[[#This Row],[Taxes]]</f>
        <v>4377.1032382089998</v>
      </c>
    </row>
    <row r="64" spans="1:10" x14ac:dyDescent="0.25">
      <c r="A64" t="s">
        <v>66</v>
      </c>
      <c r="B64" t="str">
        <f>IFERROR(VLOOKUP(Table2[[#This Row],[Product Name]],Table_0[],2,0),"")</f>
        <v>IG-MSGS</v>
      </c>
      <c r="C64" s="1">
        <v>29</v>
      </c>
      <c r="D64" s="3">
        <f>IFERROR(VLOOKUP(Table2[[#This Row],[Product Name]],Table_0[],7,0),"")</f>
        <v>35</v>
      </c>
      <c r="E64" s="3">
        <f>IFERROR(Table2[[#This Row],[Order Quantity]]*Table2[[#This Row],[Cost of 1 Pack]],"")</f>
        <v>1015</v>
      </c>
      <c r="F64" s="4">
        <f>IFERROR((VLOOKUP(Table2[[#This Row],[Product Name]],Table_0[],10,0)/1000)*Table2[[#This Row],[Order Quantity]],"")</f>
        <v>2.9000000000000004</v>
      </c>
      <c r="G64" s="3" cm="1">
        <f t="array" ref="G64">Table2[[#This Row],[Weight(kg)]]*Table4[Shiping per kg]</f>
        <v>3362.1032382090002</v>
      </c>
      <c r="H64" s="3"/>
      <c r="I64" s="3">
        <f>(Table2[[#This Row],[Total Value]]/Table2[[#This Row],[Order Quantity]])+(Table2[[#This Row],[Shipping Cost]]/Table2[[#This Row],[Order Quantity]])+(Table2[[#This Row],[Taxes]]/Table2[[#This Row],[Order Quantity]])</f>
        <v>150.93459442100001</v>
      </c>
      <c r="J64" s="3">
        <f>Table2[[#This Row],[Total Value]]+Table2[[#This Row],[Shipping Cost]]+Table2[[#This Row],[Taxes]]</f>
        <v>4377.1032382089998</v>
      </c>
    </row>
    <row r="65" spans="1:10" x14ac:dyDescent="0.25">
      <c r="A65" t="s">
        <v>67</v>
      </c>
      <c r="B65" t="str">
        <f>IFERROR(VLOOKUP(Table2[[#This Row],[Product Name]],Table_0[],2,0),"")</f>
        <v>IG-MSBLUBRY</v>
      </c>
      <c r="C65" s="1">
        <v>29</v>
      </c>
      <c r="D65" s="3">
        <f>IFERROR(VLOOKUP(Table2[[#This Row],[Product Name]],Table_0[],7,0),"")</f>
        <v>35</v>
      </c>
      <c r="E65" s="3">
        <f>IFERROR(Table2[[#This Row],[Order Quantity]]*Table2[[#This Row],[Cost of 1 Pack]],"")</f>
        <v>1015</v>
      </c>
      <c r="F65" s="4">
        <f>IFERROR((VLOOKUP(Table2[[#This Row],[Product Name]],Table_0[],10,0)/1000)*Table2[[#This Row],[Order Quantity]],"")</f>
        <v>2.9000000000000004</v>
      </c>
      <c r="G65" s="3" cm="1">
        <f t="array" ref="G65">Table2[[#This Row],[Weight(kg)]]*Table4[Shiping per kg]</f>
        <v>3362.1032382090002</v>
      </c>
      <c r="H65" s="3"/>
      <c r="I65" s="3">
        <f>(Table2[[#This Row],[Total Value]]/Table2[[#This Row],[Order Quantity]])+(Table2[[#This Row],[Shipping Cost]]/Table2[[#This Row],[Order Quantity]])+(Table2[[#This Row],[Taxes]]/Table2[[#This Row],[Order Quantity]])</f>
        <v>150.93459442100001</v>
      </c>
      <c r="J65" s="3">
        <f>Table2[[#This Row],[Total Value]]+Table2[[#This Row],[Shipping Cost]]+Table2[[#This Row],[Taxes]]</f>
        <v>4377.1032382089998</v>
      </c>
    </row>
    <row r="66" spans="1:10" x14ac:dyDescent="0.25">
      <c r="A66" t="s">
        <v>325</v>
      </c>
      <c r="B66" t="str">
        <f>IFERROR(VLOOKUP(Table2[[#This Row],[Product Name]],Table_0[],2,0),"")</f>
        <v>IG-MCS</v>
      </c>
      <c r="C66" s="1">
        <v>29</v>
      </c>
      <c r="D66" s="3">
        <f>IFERROR(VLOOKUP(Table2[[#This Row],[Product Name]],Table_0[],7,0),"")</f>
        <v>30</v>
      </c>
      <c r="E66" s="3">
        <f>IFERROR(Table2[[#This Row],[Order Quantity]]*Table2[[#This Row],[Cost of 1 Pack]],"")</f>
        <v>870</v>
      </c>
      <c r="F66" s="4">
        <f>IFERROR((VLOOKUP(Table2[[#This Row],[Product Name]],Table_0[],10,0)/1000)*Table2[[#This Row],[Order Quantity]],"")</f>
        <v>2.9000000000000004</v>
      </c>
      <c r="G66" s="3" cm="1">
        <f t="array" ref="G66">Table2[[#This Row],[Weight(kg)]]*Table4[Shiping per kg]</f>
        <v>3362.1032382090002</v>
      </c>
      <c r="H66" s="3"/>
      <c r="I66" s="3">
        <f>(Table2[[#This Row],[Total Value]]/Table2[[#This Row],[Order Quantity]])+(Table2[[#This Row],[Shipping Cost]]/Table2[[#This Row],[Order Quantity]])+(Table2[[#This Row],[Taxes]]/Table2[[#This Row],[Order Quantity]])</f>
        <v>145.93459442100001</v>
      </c>
      <c r="J66" s="3">
        <f>Table2[[#This Row],[Total Value]]+Table2[[#This Row],[Shipping Cost]]+Table2[[#This Row],[Taxes]]</f>
        <v>4232.1032382089998</v>
      </c>
    </row>
    <row r="67" spans="1:10" x14ac:dyDescent="0.25">
      <c r="A67" t="s">
        <v>68</v>
      </c>
      <c r="B67" t="str">
        <f>IFERROR(VLOOKUP(Table2[[#This Row],[Product Name]],Table_0[],2,0),"")</f>
        <v>IG-KHTRIKHTA</v>
      </c>
      <c r="C67" s="1">
        <v>10</v>
      </c>
      <c r="D67" s="3">
        <f>IFERROR(VLOOKUP(Table2[[#This Row],[Product Name]],Table_0[],7,0),"")</f>
        <v>30</v>
      </c>
      <c r="E67" s="3">
        <f>IFERROR(Table2[[#This Row],[Order Quantity]]*Table2[[#This Row],[Cost of 1 Pack]],"")</f>
        <v>300</v>
      </c>
      <c r="F67" s="4">
        <f>IFERROR((VLOOKUP(Table2[[#This Row],[Product Name]],Table_0[],10,0)/1000)*Table2[[#This Row],[Order Quantity]],"")</f>
        <v>1.05</v>
      </c>
      <c r="G67" s="3" cm="1">
        <f t="array" ref="G67">Table2[[#This Row],[Weight(kg)]]*Table4[Shiping per kg]</f>
        <v>1217.3132414204999</v>
      </c>
      <c r="H67" s="3"/>
      <c r="I67" s="3">
        <f>(Table2[[#This Row],[Total Value]]/Table2[[#This Row],[Order Quantity]])+(Table2[[#This Row],[Shipping Cost]]/Table2[[#This Row],[Order Quantity]])+(Table2[[#This Row],[Taxes]]/Table2[[#This Row],[Order Quantity]])</f>
        <v>151.73132414205</v>
      </c>
      <c r="J67" s="3">
        <f>Table2[[#This Row],[Total Value]]+Table2[[#This Row],[Shipping Cost]]+Table2[[#This Row],[Taxes]]</f>
        <v>1517.3132414204999</v>
      </c>
    </row>
    <row r="68" spans="1:10" x14ac:dyDescent="0.25">
      <c r="A68" t="s">
        <v>69</v>
      </c>
      <c r="B68" t="str">
        <f>IFERROR(VLOOKUP(Table2[[#This Row],[Product Name]],Table_0[],2,0),"")</f>
        <v>IG-KHTMKHTA</v>
      </c>
      <c r="C68" s="1">
        <v>10</v>
      </c>
      <c r="D68" s="3">
        <f>IFERROR(VLOOKUP(Table2[[#This Row],[Product Name]],Table_0[],7,0),"")</f>
        <v>30</v>
      </c>
      <c r="E68" s="3">
        <f>IFERROR(Table2[[#This Row],[Order Quantity]]*Table2[[#This Row],[Cost of 1 Pack]],"")</f>
        <v>300</v>
      </c>
      <c r="F68" s="4">
        <f>IFERROR((VLOOKUP(Table2[[#This Row],[Product Name]],Table_0[],10,0)/1000)*Table2[[#This Row],[Order Quantity]],"")</f>
        <v>1.2</v>
      </c>
      <c r="G68" s="3" cm="1">
        <f t="array" ref="G68">Table2[[#This Row],[Weight(kg)]]*Table4[Shiping per kg]</f>
        <v>1391.2151330519998</v>
      </c>
      <c r="H68" s="3"/>
      <c r="I68" s="3">
        <f>(Table2[[#This Row],[Total Value]]/Table2[[#This Row],[Order Quantity]])+(Table2[[#This Row],[Shipping Cost]]/Table2[[#This Row],[Order Quantity]])+(Table2[[#This Row],[Taxes]]/Table2[[#This Row],[Order Quantity]])</f>
        <v>169.12151330519998</v>
      </c>
      <c r="J68" s="3">
        <f>Table2[[#This Row],[Total Value]]+Table2[[#This Row],[Shipping Cost]]+Table2[[#This Row],[Taxes]]</f>
        <v>1691.2151330519998</v>
      </c>
    </row>
    <row r="69" spans="1:10" x14ac:dyDescent="0.25">
      <c r="A69" t="s">
        <v>70</v>
      </c>
      <c r="B69" t="str">
        <f>IFERROR(VLOOKUP(Table2[[#This Row],[Product Name]],Table_0[],2,0),"")</f>
        <v>IG-10MUNCH</v>
      </c>
      <c r="C69" s="1">
        <v>2</v>
      </c>
      <c r="D69" s="3">
        <f>IFERROR(VLOOKUP(Table2[[#This Row],[Product Name]],Table_0[],7,0),"")</f>
        <v>350</v>
      </c>
      <c r="E69" s="3">
        <f>IFERROR(Table2[[#This Row],[Order Quantity]]*Table2[[#This Row],[Cost of 1 Pack]],"")</f>
        <v>700</v>
      </c>
      <c r="F69" s="4">
        <f>IFERROR((VLOOKUP(Table2[[#This Row],[Product Name]],Table_0[],10,0)/1000)*Table2[[#This Row],[Order Quantity]],"")</f>
        <v>2.2400000000000002</v>
      </c>
      <c r="G69" s="3" cm="1">
        <f t="array" ref="G69">Table2[[#This Row],[Weight(kg)]]*Table4[Shiping per kg]</f>
        <v>2596.9349150304001</v>
      </c>
      <c r="H69" s="3"/>
      <c r="I69" s="3">
        <f>(Table2[[#This Row],[Total Value]]/Table2[[#This Row],[Order Quantity]])+(Table2[[#This Row],[Shipping Cost]]/Table2[[#This Row],[Order Quantity]])+(Table2[[#This Row],[Taxes]]/Table2[[#This Row],[Order Quantity]])</f>
        <v>1648.4674575152001</v>
      </c>
      <c r="J69" s="3">
        <f>Table2[[#This Row],[Total Value]]+Table2[[#This Row],[Shipping Cost]]+Table2[[#This Row],[Taxes]]</f>
        <v>3296.9349150304001</v>
      </c>
    </row>
    <row r="70" spans="1:10" x14ac:dyDescent="0.25">
      <c r="A70" t="s">
        <v>71</v>
      </c>
      <c r="B70" t="str">
        <f>IFERROR(VLOOKUP(Table2[[#This Row],[Product Name]],Table_0[],2,0),"")</f>
        <v>IG-5MUNCH</v>
      </c>
      <c r="C70" s="1">
        <v>2</v>
      </c>
      <c r="D70" s="3">
        <f>IFERROR(VLOOKUP(Table2[[#This Row],[Product Name]],Table_0[],7,0),"")</f>
        <v>160</v>
      </c>
      <c r="E70" s="3">
        <f>IFERROR(Table2[[#This Row],[Order Quantity]]*Table2[[#This Row],[Cost of 1 Pack]],"")</f>
        <v>320</v>
      </c>
      <c r="F70" s="4">
        <f>IFERROR((VLOOKUP(Table2[[#This Row],[Product Name]],Table_0[],10,0)/1000)*Table2[[#This Row],[Order Quantity]],"")</f>
        <v>0.66600000000000004</v>
      </c>
      <c r="G70" s="3" cm="1">
        <f t="array" ref="G70">Table2[[#This Row],[Weight(kg)]]*Table4[Shiping per kg]</f>
        <v>772.12439884386004</v>
      </c>
      <c r="H70" s="3"/>
      <c r="I70" s="3">
        <f>(Table2[[#This Row],[Total Value]]/Table2[[#This Row],[Order Quantity]])+(Table2[[#This Row],[Shipping Cost]]/Table2[[#This Row],[Order Quantity]])+(Table2[[#This Row],[Taxes]]/Table2[[#This Row],[Order Quantity]])</f>
        <v>546.06219942193002</v>
      </c>
      <c r="J70" s="3">
        <f>Table2[[#This Row],[Total Value]]+Table2[[#This Row],[Shipping Cost]]+Table2[[#This Row],[Taxes]]</f>
        <v>1092.12439884386</v>
      </c>
    </row>
    <row r="71" spans="1:10" x14ac:dyDescent="0.25">
      <c r="A71" t="s">
        <v>72</v>
      </c>
      <c r="B71" t="str">
        <f>IFERROR(VLOOKUP(Table2[[#This Row],[Product Name]],Table_0[],2,0),"")</f>
        <v>IG-NTKTMWP</v>
      </c>
      <c r="C71" s="1">
        <v>59</v>
      </c>
      <c r="D71" s="3">
        <f>IFERROR(VLOOKUP(Table2[[#This Row],[Product Name]],Table_0[],7,0),"")</f>
        <v>5</v>
      </c>
      <c r="E71" s="3">
        <f>IFERROR(Table2[[#This Row],[Order Quantity]]*Table2[[#This Row],[Cost of 1 Pack]],"")</f>
        <v>295</v>
      </c>
      <c r="F71" s="4">
        <f>IFERROR((VLOOKUP(Table2[[#This Row],[Product Name]],Table_0[],10,0)/1000)*Table2[[#This Row],[Order Quantity]],"")</f>
        <v>1.0619999999999998</v>
      </c>
      <c r="G71" s="3" cm="1">
        <f t="array" ref="G71">Table2[[#This Row],[Weight(kg)]]*Table4[Shiping per kg]</f>
        <v>1231.2253927510199</v>
      </c>
      <c r="H71" s="3"/>
      <c r="I71" s="3">
        <f>(Table2[[#This Row],[Total Value]]/Table2[[#This Row],[Order Quantity]])+(Table2[[#This Row],[Shipping Cost]]/Table2[[#This Row],[Order Quantity]])+(Table2[[#This Row],[Taxes]]/Table2[[#This Row],[Order Quantity]])</f>
        <v>25.868226995779999</v>
      </c>
      <c r="J71" s="3">
        <f>Table2[[#This Row],[Total Value]]+Table2[[#This Row],[Shipping Cost]]+Table2[[#This Row],[Taxes]]</f>
        <v>1526.2253927510199</v>
      </c>
    </row>
    <row r="72" spans="1:10" x14ac:dyDescent="0.25">
      <c r="A72" t="s">
        <v>73</v>
      </c>
      <c r="B72" t="str">
        <f>IFERROR(VLOOKUP(Table2[[#This Row],[Product Name]],Table_0[],2,0),"")</f>
        <v>IG-10MILKYBR</v>
      </c>
      <c r="C72" s="1">
        <v>2</v>
      </c>
      <c r="D72" s="3">
        <f>IFERROR(VLOOKUP(Table2[[#This Row],[Product Name]],Table_0[],7,0),"")</f>
        <v>270</v>
      </c>
      <c r="E72" s="3">
        <f>IFERROR(Table2[[#This Row],[Order Quantity]]*Table2[[#This Row],[Cost of 1 Pack]],"")</f>
        <v>540</v>
      </c>
      <c r="F72" s="4">
        <f>IFERROR((VLOOKUP(Table2[[#This Row],[Product Name]],Table_0[],10,0)/1000)*Table2[[#This Row],[Order Quantity]],"")</f>
        <v>0.67600000000000005</v>
      </c>
      <c r="G72" s="3" cm="1">
        <f t="array" ref="G72">Table2[[#This Row],[Weight(kg)]]*Table4[Shiping per kg]</f>
        <v>783.71785828596001</v>
      </c>
      <c r="H72" s="3"/>
      <c r="I72" s="3">
        <f>(Table2[[#This Row],[Total Value]]/Table2[[#This Row],[Order Quantity]])+(Table2[[#This Row],[Shipping Cost]]/Table2[[#This Row],[Order Quantity]])+(Table2[[#This Row],[Taxes]]/Table2[[#This Row],[Order Quantity]])</f>
        <v>661.85892914298006</v>
      </c>
      <c r="J72" s="3">
        <f>Table2[[#This Row],[Total Value]]+Table2[[#This Row],[Shipping Cost]]+Table2[[#This Row],[Taxes]]</f>
        <v>1323.7178582859601</v>
      </c>
    </row>
    <row r="73" spans="1:10" x14ac:dyDescent="0.25">
      <c r="A73" t="s">
        <v>74</v>
      </c>
      <c r="B73" t="str">
        <f>IFERROR(VLOOKUP(Table2[[#This Row],[Product Name]],Table_0[],2,0),"")</f>
        <v>IG-20MILKYBR</v>
      </c>
      <c r="C73" s="1">
        <v>2</v>
      </c>
      <c r="D73" s="3">
        <f>IFERROR(VLOOKUP(Table2[[#This Row],[Product Name]],Table_0[],7,0),"")</f>
        <v>480</v>
      </c>
      <c r="E73" s="3">
        <f>IFERROR(Table2[[#This Row],[Order Quantity]]*Table2[[#This Row],[Cost of 1 Pack]],"")</f>
        <v>960</v>
      </c>
      <c r="F73" s="4">
        <f>IFERROR((VLOOKUP(Table2[[#This Row],[Product Name]],Table_0[],10,0)/1000)*Table2[[#This Row],[Order Quantity]],"")</f>
        <v>1.1759999999999999</v>
      </c>
      <c r="G73" s="3" cm="1">
        <f t="array" ref="G73">Table2[[#This Row],[Weight(kg)]]*Table4[Shiping per kg]</f>
        <v>1363.39083039096</v>
      </c>
      <c r="H73" s="3"/>
      <c r="I73" s="3">
        <f>(Table2[[#This Row],[Total Value]]/Table2[[#This Row],[Order Quantity]])+(Table2[[#This Row],[Shipping Cost]]/Table2[[#This Row],[Order Quantity]])+(Table2[[#This Row],[Taxes]]/Table2[[#This Row],[Order Quantity]])</f>
        <v>1161.6954151954801</v>
      </c>
      <c r="J73" s="3">
        <f>Table2[[#This Row],[Total Value]]+Table2[[#This Row],[Shipping Cost]]+Table2[[#This Row],[Taxes]]</f>
        <v>2323.3908303909602</v>
      </c>
    </row>
    <row r="74" spans="1:10" x14ac:dyDescent="0.25">
      <c r="A74" t="s">
        <v>75</v>
      </c>
      <c r="B74" t="str">
        <f>IFERROR(VLOOKUP(Table2[[#This Row],[Product Name]],Table_0[],2,0),"")</f>
        <v>IG-POLO</v>
      </c>
      <c r="C74" s="1">
        <v>3</v>
      </c>
      <c r="D74" s="3">
        <f>IFERROR(VLOOKUP(Table2[[#This Row],[Product Name]],Table_0[],7,0),"")</f>
        <v>115</v>
      </c>
      <c r="E74" s="3">
        <f>IFERROR(Table2[[#This Row],[Order Quantity]]*Table2[[#This Row],[Cost of 1 Pack]],"")</f>
        <v>345</v>
      </c>
      <c r="F74" s="4">
        <f>IFERROR((VLOOKUP(Table2[[#This Row],[Product Name]],Table_0[],10,0)/1000)*Table2[[#This Row],[Order Quantity]],"")</f>
        <v>1.0349999999999999</v>
      </c>
      <c r="G74" s="3" cm="1">
        <f t="array" ref="G74">Table2[[#This Row],[Weight(kg)]]*Table4[Shiping per kg]</f>
        <v>1199.9230522573498</v>
      </c>
      <c r="H74" s="3"/>
      <c r="I74" s="3">
        <f>(Table2[[#This Row],[Total Value]]/Table2[[#This Row],[Order Quantity]])+(Table2[[#This Row],[Shipping Cost]]/Table2[[#This Row],[Order Quantity]])+(Table2[[#This Row],[Taxes]]/Table2[[#This Row],[Order Quantity]])</f>
        <v>514.97435075244994</v>
      </c>
      <c r="J74" s="3">
        <f>Table2[[#This Row],[Total Value]]+Table2[[#This Row],[Shipping Cost]]+Table2[[#This Row],[Taxes]]</f>
        <v>1544.9230522573498</v>
      </c>
    </row>
    <row r="75" spans="1:10" x14ac:dyDescent="0.25">
      <c r="A75" t="s">
        <v>76</v>
      </c>
      <c r="B75" t="str">
        <f>IFERROR(VLOOKUP(Table2[[#This Row],[Product Name]],Table_0[],2,0),"")</f>
        <v>IG-KISMI</v>
      </c>
      <c r="C75" s="1">
        <v>6</v>
      </c>
      <c r="D75" s="3">
        <f>IFERROR(VLOOKUP(Table2[[#This Row],[Product Name]],Table_0[],7,0),"")</f>
        <v>50</v>
      </c>
      <c r="E75" s="3">
        <f>IFERROR(Table2[[#This Row],[Order Quantity]]*Table2[[#This Row],[Cost of 1 Pack]],"")</f>
        <v>300</v>
      </c>
      <c r="F75" s="4">
        <f>IFERROR((VLOOKUP(Table2[[#This Row],[Product Name]],Table_0[],10,0)/1000)*Table2[[#This Row],[Order Quantity]],"")</f>
        <v>1.476</v>
      </c>
      <c r="G75" s="3" cm="1">
        <f t="array" ref="G75">Table2[[#This Row],[Weight(kg)]]*Table4[Shiping per kg]</f>
        <v>1711.19461365396</v>
      </c>
      <c r="H75" s="3"/>
      <c r="I75" s="3">
        <f>(Table2[[#This Row],[Total Value]]/Table2[[#This Row],[Order Quantity]])+(Table2[[#This Row],[Shipping Cost]]/Table2[[#This Row],[Order Quantity]])+(Table2[[#This Row],[Taxes]]/Table2[[#This Row],[Order Quantity]])</f>
        <v>335.19910227565998</v>
      </c>
      <c r="J75" s="3">
        <f>Table2[[#This Row],[Total Value]]+Table2[[#This Row],[Shipping Cost]]+Table2[[#This Row],[Taxes]]</f>
        <v>2011.19461365396</v>
      </c>
    </row>
    <row r="76" spans="1:10" x14ac:dyDescent="0.25">
      <c r="A76" t="s">
        <v>77</v>
      </c>
      <c r="B76" t="str">
        <f>IFERROR(VLOOKUP(Table2[[#This Row],[Product Name]],Table_0[],2,0),"")</f>
        <v>IG-KCHMB</v>
      </c>
      <c r="C76" s="1">
        <v>3</v>
      </c>
      <c r="D76" s="3">
        <f>IFERROR(VLOOKUP(Table2[[#This Row],[Product Name]],Table_0[],7,0),"")</f>
        <v>50</v>
      </c>
      <c r="E76" s="3">
        <f>IFERROR(Table2[[#This Row],[Order Quantity]]*Table2[[#This Row],[Cost of 1 Pack]],"")</f>
        <v>150</v>
      </c>
      <c r="F76" s="4">
        <f>IFERROR((VLOOKUP(Table2[[#This Row],[Product Name]],Table_0[],10,0)/1000)*Table2[[#This Row],[Order Quantity]],"")</f>
        <v>0.83100000000000007</v>
      </c>
      <c r="G76" s="3" cm="1">
        <f t="array" ref="G76">Table2[[#This Row],[Weight(kg)]]*Table4[Shiping per kg]</f>
        <v>963.41647963851005</v>
      </c>
      <c r="H76" s="3"/>
      <c r="I76" s="3">
        <f>(Table2[[#This Row],[Total Value]]/Table2[[#This Row],[Order Quantity]])+(Table2[[#This Row],[Shipping Cost]]/Table2[[#This Row],[Order Quantity]])+(Table2[[#This Row],[Taxes]]/Table2[[#This Row],[Order Quantity]])</f>
        <v>371.13882654617004</v>
      </c>
      <c r="J76" s="3">
        <f>Table2[[#This Row],[Total Value]]+Table2[[#This Row],[Shipping Cost]]+Table2[[#This Row],[Taxes]]</f>
        <v>1113.4164796385101</v>
      </c>
    </row>
    <row r="77" spans="1:10" x14ac:dyDescent="0.25">
      <c r="A77" t="s">
        <v>78</v>
      </c>
      <c r="B77" t="str">
        <f>IFERROR(VLOOKUP(Table2[[#This Row],[Product Name]],Table_0[],2,0),"")</f>
        <v>IG-PARMAN</v>
      </c>
      <c r="C77" s="1">
        <v>3</v>
      </c>
      <c r="D77" s="3">
        <f>IFERROR(VLOOKUP(Table2[[#This Row],[Product Name]],Table_0[],7,0),"")</f>
        <v>50</v>
      </c>
      <c r="E77" s="3">
        <f>IFERROR(Table2[[#This Row],[Order Quantity]]*Table2[[#This Row],[Cost of 1 Pack]],"")</f>
        <v>150</v>
      </c>
      <c r="F77" s="4">
        <f>IFERROR((VLOOKUP(Table2[[#This Row],[Product Name]],Table_0[],10,0)/1000)*Table2[[#This Row],[Order Quantity]],"")</f>
        <v>0.86699999999999999</v>
      </c>
      <c r="G77" s="3" cm="1">
        <f t="array" ref="G77">Table2[[#This Row],[Weight(kg)]]*Table4[Shiping per kg]</f>
        <v>1005.1529336300699</v>
      </c>
      <c r="H77" s="3"/>
      <c r="I77" s="3">
        <f>(Table2[[#This Row],[Total Value]]/Table2[[#This Row],[Order Quantity]])+(Table2[[#This Row],[Shipping Cost]]/Table2[[#This Row],[Order Quantity]])+(Table2[[#This Row],[Taxes]]/Table2[[#This Row],[Order Quantity]])</f>
        <v>385.05097787668996</v>
      </c>
      <c r="J77" s="3">
        <f>Table2[[#This Row],[Total Value]]+Table2[[#This Row],[Shipping Cost]]+Table2[[#This Row],[Taxes]]</f>
        <v>1155.15293363007</v>
      </c>
    </row>
    <row r="78" spans="1:10" x14ac:dyDescent="0.25">
      <c r="A78" t="s">
        <v>79</v>
      </c>
      <c r="B78" t="str">
        <f>IFERROR(VLOOKUP(Table2[[#This Row],[Product Name]],Table_0[],2,0),"")</f>
        <v>IG-PRLEMEL</v>
      </c>
      <c r="C78" s="1">
        <v>3</v>
      </c>
      <c r="D78" s="3">
        <f>IFERROR(VLOOKUP(Table2[[#This Row],[Product Name]],Table_0[],7,0),"")</f>
        <v>100</v>
      </c>
      <c r="E78" s="3">
        <f>IFERROR(Table2[[#This Row],[Order Quantity]]*Table2[[#This Row],[Cost of 1 Pack]],"")</f>
        <v>300</v>
      </c>
      <c r="F78" s="4">
        <f>IFERROR((VLOOKUP(Table2[[#This Row],[Product Name]],Table_0[],10,0)/1000)*Table2[[#This Row],[Order Quantity]],"")</f>
        <v>1.173</v>
      </c>
      <c r="G78" s="3" cm="1">
        <f t="array" ref="G78">Table2[[#This Row],[Weight(kg)]]*Table4[Shiping per kg]</f>
        <v>1359.91279255833</v>
      </c>
      <c r="H78" s="3"/>
      <c r="I78" s="3">
        <f>(Table2[[#This Row],[Total Value]]/Table2[[#This Row],[Order Quantity]])+(Table2[[#This Row],[Shipping Cost]]/Table2[[#This Row],[Order Quantity]])+(Table2[[#This Row],[Taxes]]/Table2[[#This Row],[Order Quantity]])</f>
        <v>553.30426418611</v>
      </c>
      <c r="J78" s="3">
        <f>Table2[[#This Row],[Total Value]]+Table2[[#This Row],[Shipping Cost]]+Table2[[#This Row],[Taxes]]</f>
        <v>1659.91279255833</v>
      </c>
    </row>
    <row r="79" spans="1:10" x14ac:dyDescent="0.25">
      <c r="A79" t="s">
        <v>80</v>
      </c>
      <c r="B79" t="str">
        <f>IFERROR(VLOOKUP(Table2[[#This Row],[Product Name]],Table_0[],2,0),"")</f>
        <v>IG-PHNTMCIG</v>
      </c>
      <c r="C79" s="1">
        <v>2</v>
      </c>
      <c r="D79" s="3">
        <f>IFERROR(VLOOKUP(Table2[[#This Row],[Product Name]],Table_0[],7,0),"")</f>
        <v>240</v>
      </c>
      <c r="E79" s="3">
        <f>IFERROR(Table2[[#This Row],[Order Quantity]]*Table2[[#This Row],[Cost of 1 Pack]],"")</f>
        <v>480</v>
      </c>
      <c r="F79" s="4">
        <f>IFERROR((VLOOKUP(Table2[[#This Row],[Product Name]],Table_0[],10,0)/1000)*Table2[[#This Row],[Order Quantity]],"")</f>
        <v>1.3919999999999999</v>
      </c>
      <c r="G79" s="3" cm="1">
        <f t="array" ref="G79">Table2[[#This Row],[Weight(kg)]]*Table4[Shiping per kg]</f>
        <v>1613.8095543403199</v>
      </c>
      <c r="H79" s="3"/>
      <c r="I79" s="3">
        <f>(Table2[[#This Row],[Total Value]]/Table2[[#This Row],[Order Quantity]])+(Table2[[#This Row],[Shipping Cost]]/Table2[[#This Row],[Order Quantity]])+(Table2[[#This Row],[Taxes]]/Table2[[#This Row],[Order Quantity]])</f>
        <v>1046.9047771701598</v>
      </c>
      <c r="J79" s="3">
        <f>Table2[[#This Row],[Total Value]]+Table2[[#This Row],[Shipping Cost]]+Table2[[#This Row],[Taxes]]</f>
        <v>2093.8095543403197</v>
      </c>
    </row>
    <row r="80" spans="1:10" x14ac:dyDescent="0.25">
      <c r="A80" t="s">
        <v>81</v>
      </c>
      <c r="B80" t="str">
        <f>IFERROR(VLOOKUP(Table2[[#This Row],[Product Name]],Table_0[],2,0),"")</f>
        <v>IG-POPPINS</v>
      </c>
      <c r="C80" s="1">
        <v>2</v>
      </c>
      <c r="D80" s="3">
        <f>IFERROR(VLOOKUP(Table2[[#This Row],[Product Name]],Table_0[],7,0),"")</f>
        <v>100</v>
      </c>
      <c r="E80" s="3">
        <f>IFERROR(Table2[[#This Row],[Order Quantity]]*Table2[[#This Row],[Cost of 1 Pack]],"")</f>
        <v>200</v>
      </c>
      <c r="F80" s="4">
        <f>IFERROR((VLOOKUP(Table2[[#This Row],[Product Name]],Table_0[],10,0)/1000)*Table2[[#This Row],[Order Quantity]],"")</f>
        <v>1.44</v>
      </c>
      <c r="G80" s="3" cm="1">
        <f t="array" ref="G80">Table2[[#This Row],[Weight(kg)]]*Table4[Shiping per kg]</f>
        <v>1669.4581596623998</v>
      </c>
      <c r="H80" s="3"/>
      <c r="I80" s="3">
        <f>(Table2[[#This Row],[Total Value]]/Table2[[#This Row],[Order Quantity]])+(Table2[[#This Row],[Shipping Cost]]/Table2[[#This Row],[Order Quantity]])+(Table2[[#This Row],[Taxes]]/Table2[[#This Row],[Order Quantity]])</f>
        <v>934.7290798311999</v>
      </c>
      <c r="J80" s="3">
        <f>Table2[[#This Row],[Total Value]]+Table2[[#This Row],[Shipping Cost]]+Table2[[#This Row],[Taxes]]</f>
        <v>1869.4581596623998</v>
      </c>
    </row>
    <row r="81" spans="1:10" x14ac:dyDescent="0.25">
      <c r="A81" t="s">
        <v>82</v>
      </c>
      <c r="B81" t="str">
        <f>IFERROR(VLOOKUP(Table2[[#This Row],[Product Name]],Table_0[],2,0),"")</f>
        <v>IG-PULSE</v>
      </c>
      <c r="C81" s="1">
        <v>2</v>
      </c>
      <c r="D81" s="3">
        <f>IFERROR(VLOOKUP(Table2[[#This Row],[Product Name]],Table_0[],7,0),"")</f>
        <v>167</v>
      </c>
      <c r="E81" s="3">
        <f>IFERROR(Table2[[#This Row],[Order Quantity]]*Table2[[#This Row],[Cost of 1 Pack]],"")</f>
        <v>334</v>
      </c>
      <c r="F81" s="4">
        <f>IFERROR((VLOOKUP(Table2[[#This Row],[Product Name]],Table_0[],10,0)/1000)*Table2[[#This Row],[Order Quantity]],"")</f>
        <v>1.3360000000000001</v>
      </c>
      <c r="G81" s="3" cm="1">
        <f t="array" ref="G81">Table2[[#This Row],[Weight(kg)]]*Table4[Shiping per kg]</f>
        <v>1548.88618146456</v>
      </c>
      <c r="H81" s="3"/>
      <c r="I81" s="3">
        <f>(Table2[[#This Row],[Total Value]]/Table2[[#This Row],[Order Quantity]])+(Table2[[#This Row],[Shipping Cost]]/Table2[[#This Row],[Order Quantity]])+(Table2[[#This Row],[Taxes]]/Table2[[#This Row],[Order Quantity]])</f>
        <v>941.44309073227998</v>
      </c>
      <c r="J81" s="3">
        <f>Table2[[#This Row],[Total Value]]+Table2[[#This Row],[Shipping Cost]]+Table2[[#This Row],[Taxes]]</f>
        <v>1882.88618146456</v>
      </c>
    </row>
    <row r="82" spans="1:10" x14ac:dyDescent="0.25">
      <c r="A82" t="s">
        <v>83</v>
      </c>
      <c r="B82" t="str">
        <f>IFERROR(VLOOKUP(Table2[[#This Row],[Product Name]],Table_0[],2,0),"")</f>
        <v>IG-5SLVRP</v>
      </c>
      <c r="C82" s="1">
        <v>36</v>
      </c>
      <c r="D82" s="3">
        <f>IFERROR(VLOOKUP(Table2[[#This Row],[Product Name]],Table_0[],7,0),"")</f>
        <v>10</v>
      </c>
      <c r="E82" s="3">
        <f>IFERROR(Table2[[#This Row],[Order Quantity]]*Table2[[#This Row],[Cost of 1 Pack]],"")</f>
        <v>360</v>
      </c>
      <c r="F82" s="4">
        <f>IFERROR((VLOOKUP(Table2[[#This Row],[Product Name]],Table_0[],10,0)/1000)*Table2[[#This Row],[Order Quantity]],"")</f>
        <v>0</v>
      </c>
      <c r="G82" s="3" cm="1">
        <f t="array" ref="G82">Table2[[#This Row],[Weight(kg)]]*Table4[Shiping per kg]</f>
        <v>0</v>
      </c>
      <c r="H82" s="3"/>
      <c r="I82" s="3">
        <f>(Table2[[#This Row],[Total Value]]/Table2[[#This Row],[Order Quantity]])+(Table2[[#This Row],[Shipping Cost]]/Table2[[#This Row],[Order Quantity]])+(Table2[[#This Row],[Taxes]]/Table2[[#This Row],[Order Quantity]])</f>
        <v>10</v>
      </c>
      <c r="J82" s="3">
        <f>Table2[[#This Row],[Total Value]]+Table2[[#This Row],[Shipping Cost]]+Table2[[#This Row],[Taxes]]</f>
        <v>360</v>
      </c>
    </row>
    <row r="83" spans="1:10" x14ac:dyDescent="0.25">
      <c r="A83" t="s">
        <v>376</v>
      </c>
      <c r="B83" t="str">
        <f>IFERROR(VLOOKUP(Table2[[#This Row],[Product Name]],Table_0[],2,0),"")</f>
        <v>IG-50SLVRP</v>
      </c>
      <c r="C83" s="1">
        <v>6</v>
      </c>
      <c r="D83" s="3">
        <f>IFERROR(VLOOKUP(Table2[[#This Row],[Product Name]],Table_0[],7,0),"")</f>
        <v>50</v>
      </c>
      <c r="E83" s="3">
        <f>IFERROR(Table2[[#This Row],[Order Quantity]]*Table2[[#This Row],[Cost of 1 Pack]],"")</f>
        <v>300</v>
      </c>
      <c r="F83" s="4">
        <f>IFERROR((VLOOKUP(Table2[[#This Row],[Product Name]],Table_0[],10,0)/1000)*Table2[[#This Row],[Order Quantity]],"")</f>
        <v>0</v>
      </c>
      <c r="G83" s="3" cm="1">
        <f t="array" ref="G83">Table2[[#This Row],[Weight(kg)]]*Table4[Shiping per kg]</f>
        <v>0</v>
      </c>
      <c r="H83" s="3"/>
      <c r="I83" s="3">
        <f>(Table2[[#This Row],[Total Value]]/Table2[[#This Row],[Order Quantity]])+(Table2[[#This Row],[Shipping Cost]]/Table2[[#This Row],[Order Quantity]])+(Table2[[#This Row],[Taxes]]/Table2[[#This Row],[Order Quantity]])</f>
        <v>50</v>
      </c>
      <c r="J83" s="3">
        <f>Table2[[#This Row],[Total Value]]+Table2[[#This Row],[Shipping Cost]]+Table2[[#This Row],[Taxes]]</f>
        <v>300</v>
      </c>
    </row>
    <row r="84" spans="1:10" x14ac:dyDescent="0.25">
      <c r="A84" t="s">
        <v>84</v>
      </c>
      <c r="B84" t="str">
        <f>IFERROR(VLOOKUP(Table2[[#This Row],[Product Name]],Table_0[],2,0),"")</f>
        <v>IG-RL</v>
      </c>
      <c r="C84" s="1">
        <v>29</v>
      </c>
      <c r="D84" s="3">
        <f>IFERROR(VLOOKUP(Table2[[#This Row],[Product Name]],Table_0[],7,0),"")</f>
        <v>35</v>
      </c>
      <c r="E84" s="3">
        <f>IFERROR(Table2[[#This Row],[Order Quantity]]*Table2[[#This Row],[Cost of 1 Pack]],"")</f>
        <v>1015</v>
      </c>
      <c r="F84" s="4">
        <f>IFERROR((VLOOKUP(Table2[[#This Row],[Product Name]],Table_0[],10,0)/1000)*Table2[[#This Row],[Order Quantity]],"")</f>
        <v>2.9000000000000004</v>
      </c>
      <c r="G84" s="3" cm="1">
        <f t="array" ref="G84">Table2[[#This Row],[Weight(kg)]]*Table4[Shiping per kg]</f>
        <v>3362.1032382090002</v>
      </c>
      <c r="H84" s="3"/>
      <c r="I84" s="3">
        <f>(Table2[[#This Row],[Total Value]]/Table2[[#This Row],[Order Quantity]])+(Table2[[#This Row],[Shipping Cost]]/Table2[[#This Row],[Order Quantity]])+(Table2[[#This Row],[Taxes]]/Table2[[#This Row],[Order Quantity]])</f>
        <v>150.93459442100001</v>
      </c>
      <c r="J84" s="3">
        <f>Table2[[#This Row],[Total Value]]+Table2[[#This Row],[Shipping Cost]]+Table2[[#This Row],[Taxes]]</f>
        <v>4377.1032382089998</v>
      </c>
    </row>
    <row r="85" spans="1:10" x14ac:dyDescent="0.25">
      <c r="A85" t="s">
        <v>85</v>
      </c>
      <c r="B85" t="str">
        <f>IFERROR(VLOOKUP(Table2[[#This Row],[Product Name]],Table_0[],2,0),"")</f>
        <v>IG-ANDN</v>
      </c>
      <c r="C85" s="1">
        <v>1</v>
      </c>
      <c r="D85" s="3">
        <f>IFERROR(VLOOKUP(Table2[[#This Row],[Product Name]],Table_0[],7,0),"")</f>
        <v>150</v>
      </c>
      <c r="E85" s="3">
        <f>IFERROR(Table2[[#This Row],[Order Quantity]]*Table2[[#This Row],[Cost of 1 Pack]],"")</f>
        <v>150</v>
      </c>
      <c r="F85" s="4">
        <f>IFERROR((VLOOKUP(Table2[[#This Row],[Product Name]],Table_0[],10,0)/1000)*Table2[[#This Row],[Order Quantity]],"")</f>
        <v>0.45</v>
      </c>
      <c r="G85" s="3" cm="1">
        <f t="array" ref="G85">Table2[[#This Row],[Weight(kg)]]*Table4[Shiping per kg]</f>
        <v>521.70567489450002</v>
      </c>
      <c r="H85" s="3"/>
      <c r="I85" s="3">
        <f>(Table2[[#This Row],[Total Value]]/Table2[[#This Row],[Order Quantity]])+(Table2[[#This Row],[Shipping Cost]]/Table2[[#This Row],[Order Quantity]])+(Table2[[#This Row],[Taxes]]/Table2[[#This Row],[Order Quantity]])</f>
        <v>671.70567489450002</v>
      </c>
      <c r="J85" s="3">
        <f>Table2[[#This Row],[Total Value]]+Table2[[#This Row],[Shipping Cost]]+Table2[[#This Row],[Taxes]]</f>
        <v>671.70567489450002</v>
      </c>
    </row>
    <row r="86" spans="1:10" x14ac:dyDescent="0.25">
      <c r="A86" t="s">
        <v>86</v>
      </c>
      <c r="B86" t="str">
        <f>IFERROR(VLOOKUP(Table2[[#This Row],[Product Name]],Table_0[],2,0),"")</f>
        <v>IG-CHNDS</v>
      </c>
      <c r="C86" s="1">
        <v>4</v>
      </c>
      <c r="D86" s="3">
        <f>IFERROR(VLOOKUP(Table2[[#This Row],[Product Name]],Table_0[],7,0),"")</f>
        <v>150</v>
      </c>
      <c r="E86" s="3">
        <f>IFERROR(Table2[[#This Row],[Order Quantity]]*Table2[[#This Row],[Cost of 1 Pack]],"")</f>
        <v>600</v>
      </c>
      <c r="F86" s="4">
        <f>IFERROR((VLOOKUP(Table2[[#This Row],[Product Name]],Table_0[],10,0)/1000)*Table2[[#This Row],[Order Quantity]],"")</f>
        <v>1.56</v>
      </c>
      <c r="G86" s="3" cm="1">
        <f t="array" ref="G86">Table2[[#This Row],[Weight(kg)]]*Table4[Shiping per kg]</f>
        <v>1808.5796729676001</v>
      </c>
      <c r="H86" s="3"/>
      <c r="I86" s="3">
        <f>(Table2[[#This Row],[Total Value]]/Table2[[#This Row],[Order Quantity]])+(Table2[[#This Row],[Shipping Cost]]/Table2[[#This Row],[Order Quantity]])+(Table2[[#This Row],[Taxes]]/Table2[[#This Row],[Order Quantity]])</f>
        <v>602.14491824190009</v>
      </c>
      <c r="J86" s="3">
        <f>Table2[[#This Row],[Total Value]]+Table2[[#This Row],[Shipping Cost]]+Table2[[#This Row],[Taxes]]</f>
        <v>2408.5796729676003</v>
      </c>
    </row>
    <row r="87" spans="1:10" x14ac:dyDescent="0.25">
      <c r="A87" t="s">
        <v>87</v>
      </c>
      <c r="B87" t="str">
        <f>IFERROR(VLOOKUP(Table2[[#This Row],[Product Name]],Table_0[],2,0),"")</f>
        <v>IG-CHATM</v>
      </c>
      <c r="C87" s="1">
        <v>2</v>
      </c>
      <c r="D87" s="3">
        <f>IFERROR(VLOOKUP(Table2[[#This Row],[Product Name]],Table_0[],7,0),"")</f>
        <v>150</v>
      </c>
      <c r="E87" s="3">
        <f>IFERROR(Table2[[#This Row],[Order Quantity]]*Table2[[#This Row],[Cost of 1 Pack]],"")</f>
        <v>300</v>
      </c>
      <c r="F87" s="4">
        <f>IFERROR((VLOOKUP(Table2[[#This Row],[Product Name]],Table_0[],10,0)/1000)*Table2[[#This Row],[Order Quantity]],"")</f>
        <v>0.9</v>
      </c>
      <c r="G87" s="3" cm="1">
        <f t="array" ref="G87">Table2[[#This Row],[Weight(kg)]]*Table4[Shiping per kg]</f>
        <v>1043.411349789</v>
      </c>
      <c r="H87" s="3"/>
      <c r="I87" s="3">
        <f>(Table2[[#This Row],[Total Value]]/Table2[[#This Row],[Order Quantity]])+(Table2[[#This Row],[Shipping Cost]]/Table2[[#This Row],[Order Quantity]])+(Table2[[#This Row],[Taxes]]/Table2[[#This Row],[Order Quantity]])</f>
        <v>671.70567489450002</v>
      </c>
      <c r="J87" s="3">
        <f>Table2[[#This Row],[Total Value]]+Table2[[#This Row],[Shipping Cost]]+Table2[[#This Row],[Taxes]]</f>
        <v>1343.411349789</v>
      </c>
    </row>
    <row r="88" spans="1:10" x14ac:dyDescent="0.25">
      <c r="A88" t="s">
        <v>88</v>
      </c>
      <c r="B88" t="str">
        <f>IFERROR(VLOOKUP(Table2[[#This Row],[Product Name]],Table_0[],2,0),"")</f>
        <v>IG-1SLVRP</v>
      </c>
      <c r="C88" s="1">
        <v>1</v>
      </c>
      <c r="D88" s="3">
        <f>IFERROR(VLOOKUP(Table2[[#This Row],[Product Name]],Table_0[],7,0),"")</f>
        <v>220</v>
      </c>
      <c r="E88" s="3">
        <f>IFERROR(Table2[[#This Row],[Order Quantity]]*Table2[[#This Row],[Cost of 1 Pack]],"")</f>
        <v>220</v>
      </c>
      <c r="F88" s="4">
        <f>IFERROR((VLOOKUP(Table2[[#This Row],[Product Name]],Table_0[],10,0)/1000)*Table2[[#This Row],[Order Quantity]],"")</f>
        <v>0</v>
      </c>
      <c r="G88" s="3" cm="1">
        <f t="array" ref="G88">Table2[[#This Row],[Weight(kg)]]*Table4[Shiping per kg]</f>
        <v>0</v>
      </c>
      <c r="H88" s="3"/>
      <c r="I88" s="3">
        <f>(Table2[[#This Row],[Total Value]]/Table2[[#This Row],[Order Quantity]])+(Table2[[#This Row],[Shipping Cost]]/Table2[[#This Row],[Order Quantity]])+(Table2[[#This Row],[Taxes]]/Table2[[#This Row],[Order Quantity]])</f>
        <v>220</v>
      </c>
      <c r="J88" s="3">
        <f>Table2[[#This Row],[Total Value]]+Table2[[#This Row],[Shipping Cost]]+Table2[[#This Row],[Taxes]]</f>
        <v>220</v>
      </c>
    </row>
    <row r="89" spans="1:10" x14ac:dyDescent="0.25">
      <c r="A89" t="s">
        <v>89</v>
      </c>
      <c r="B89" t="str">
        <f>IFERROR(VLOOKUP(Table2[[#This Row],[Product Name]],Table_0[],2,0),"")</f>
        <v>IG-SMC</v>
      </c>
      <c r="C89" s="1">
        <v>29</v>
      </c>
      <c r="D89" s="3">
        <f>IFERROR(VLOOKUP(Table2[[#This Row],[Product Name]],Table_0[],7,0),"")</f>
        <v>30</v>
      </c>
      <c r="E89" s="3">
        <f>IFERROR(Table2[[#This Row],[Order Quantity]]*Table2[[#This Row],[Cost of 1 Pack]],"")</f>
        <v>870</v>
      </c>
      <c r="F89" s="4">
        <f>IFERROR((VLOOKUP(Table2[[#This Row],[Product Name]],Table_0[],10,0)/1000)*Table2[[#This Row],[Order Quantity]],"")</f>
        <v>2.9000000000000004</v>
      </c>
      <c r="G89" s="3" cm="1">
        <f t="array" ref="G89">Table2[[#This Row],[Weight(kg)]]*Table4[Shiping per kg]</f>
        <v>3362.1032382090002</v>
      </c>
      <c r="H89" s="3"/>
      <c r="I89" s="3">
        <f>(Table2[[#This Row],[Total Value]]/Table2[[#This Row],[Order Quantity]])+(Table2[[#This Row],[Shipping Cost]]/Table2[[#This Row],[Order Quantity]])+(Table2[[#This Row],[Taxes]]/Table2[[#This Row],[Order Quantity]])</f>
        <v>145.93459442100001</v>
      </c>
      <c r="J89" s="3">
        <f>Table2[[#This Row],[Total Value]]+Table2[[#This Row],[Shipping Cost]]+Table2[[#This Row],[Taxes]]</f>
        <v>4232.1032382089998</v>
      </c>
    </row>
    <row r="90" spans="1:10" x14ac:dyDescent="0.25">
      <c r="A90" t="s">
        <v>90</v>
      </c>
      <c r="B90" t="str">
        <f>IFERROR(VLOOKUP(Table2[[#This Row],[Product Name]],Table_0[],2,0),"")</f>
        <v>IG-SOC</v>
      </c>
      <c r="C90" s="1">
        <v>29</v>
      </c>
      <c r="D90" s="3">
        <f>IFERROR(VLOOKUP(Table2[[#This Row],[Product Name]],Table_0[],7,0),"")</f>
        <v>30</v>
      </c>
      <c r="E90" s="3">
        <f>IFERROR(Table2[[#This Row],[Order Quantity]]*Table2[[#This Row],[Cost of 1 Pack]],"")</f>
        <v>870</v>
      </c>
      <c r="F90" s="4">
        <f>IFERROR((VLOOKUP(Table2[[#This Row],[Product Name]],Table_0[],10,0)/1000)*Table2[[#This Row],[Order Quantity]],"")</f>
        <v>2.9000000000000004</v>
      </c>
      <c r="G90" s="3" cm="1">
        <f t="array" ref="G90">Table2[[#This Row],[Weight(kg)]]*Table4[Shiping per kg]</f>
        <v>3362.1032382090002</v>
      </c>
      <c r="H90" s="3"/>
      <c r="I90" s="3">
        <f>(Table2[[#This Row],[Total Value]]/Table2[[#This Row],[Order Quantity]])+(Table2[[#This Row],[Shipping Cost]]/Table2[[#This Row],[Order Quantity]])+(Table2[[#This Row],[Taxes]]/Table2[[#This Row],[Order Quantity]])</f>
        <v>145.93459442100001</v>
      </c>
      <c r="J90" s="3">
        <f>Table2[[#This Row],[Total Value]]+Table2[[#This Row],[Shipping Cost]]+Table2[[#This Row],[Taxes]]</f>
        <v>4232.1032382089998</v>
      </c>
    </row>
    <row r="91" spans="1:10" x14ac:dyDescent="0.25">
      <c r="A91" t="s">
        <v>91</v>
      </c>
      <c r="B91" t="str">
        <f>IFERROR(VLOOKUP(Table2[[#This Row],[Product Name]],Table_0[],2,0),"")</f>
        <v>IG-SPC</v>
      </c>
      <c r="C91" s="1">
        <v>29</v>
      </c>
      <c r="D91" s="3">
        <f>IFERROR(VLOOKUP(Table2[[#This Row],[Product Name]],Table_0[],7,0),"")</f>
        <v>30</v>
      </c>
      <c r="E91" s="3">
        <f>IFERROR(Table2[[#This Row],[Order Quantity]]*Table2[[#This Row],[Cost of 1 Pack]],"")</f>
        <v>870</v>
      </c>
      <c r="F91" s="4">
        <f>IFERROR((VLOOKUP(Table2[[#This Row],[Product Name]],Table_0[],10,0)/1000)*Table2[[#This Row],[Order Quantity]],"")</f>
        <v>2.9000000000000004</v>
      </c>
      <c r="G91" s="3" cm="1">
        <f t="array" ref="G91">Table2[[#This Row],[Weight(kg)]]*Table4[Shiping per kg]</f>
        <v>3362.1032382090002</v>
      </c>
      <c r="H91" s="3"/>
      <c r="I91" s="3">
        <f>(Table2[[#This Row],[Total Value]]/Table2[[#This Row],[Order Quantity]])+(Table2[[#This Row],[Shipping Cost]]/Table2[[#This Row],[Order Quantity]])+(Table2[[#This Row],[Taxes]]/Table2[[#This Row],[Order Quantity]])</f>
        <v>145.93459442100001</v>
      </c>
      <c r="J91" s="3">
        <f>Table2[[#This Row],[Total Value]]+Table2[[#This Row],[Shipping Cost]]+Table2[[#This Row],[Taxes]]</f>
        <v>4232.1032382089998</v>
      </c>
    </row>
    <row r="92" spans="1:10" x14ac:dyDescent="0.25">
      <c r="A92" t="s">
        <v>92</v>
      </c>
      <c r="B92" t="str">
        <f>IFERROR(VLOOKUP(Table2[[#This Row],[Product Name]],Table_0[],2,0),"")</f>
        <v>IG-TDEMEDE</v>
      </c>
      <c r="C92" s="1">
        <v>60</v>
      </c>
      <c r="D92" s="3">
        <f>IFERROR(VLOOKUP(Table2[[#This Row],[Product Name]],Table_0[],7,0),"")</f>
        <v>5</v>
      </c>
      <c r="E92" s="3">
        <f>IFERROR(Table2[[#This Row],[Order Quantity]]*Table2[[#This Row],[Cost of 1 Pack]],"")</f>
        <v>300</v>
      </c>
      <c r="F92" s="4">
        <f>IFERROR((VLOOKUP(Table2[[#This Row],[Product Name]],Table_0[],10,0)/1000)*Table2[[#This Row],[Order Quantity]],"")</f>
        <v>0</v>
      </c>
      <c r="G92" s="3" cm="1">
        <f t="array" ref="G92">Table2[[#This Row],[Weight(kg)]]*Table4[Shiping per kg]</f>
        <v>0</v>
      </c>
      <c r="H92" s="3"/>
      <c r="I92" s="3">
        <f>(Table2[[#This Row],[Total Value]]/Table2[[#This Row],[Order Quantity]])+(Table2[[#This Row],[Shipping Cost]]/Table2[[#This Row],[Order Quantity]])+(Table2[[#This Row],[Taxes]]/Table2[[#This Row],[Order Quantity]])</f>
        <v>5</v>
      </c>
      <c r="J92" s="3">
        <f>Table2[[#This Row],[Total Value]]+Table2[[#This Row],[Shipping Cost]]+Table2[[#This Row],[Taxes]]</f>
        <v>300</v>
      </c>
    </row>
    <row r="93" spans="1:10" x14ac:dyDescent="0.25">
      <c r="A93" t="s">
        <v>93</v>
      </c>
      <c r="B93" t="str">
        <f>IFERROR(VLOOKUP(Table2[[#This Row],[Product Name]],Table_0[],2,0),"")</f>
        <v>IG-TICTAC</v>
      </c>
      <c r="C93" s="1">
        <v>2</v>
      </c>
      <c r="D93" s="3">
        <f>IFERROR(VLOOKUP(Table2[[#This Row],[Product Name]],Table_0[],7,0),"")</f>
        <v>240</v>
      </c>
      <c r="E93" s="3">
        <f>IFERROR(Table2[[#This Row],[Order Quantity]]*Table2[[#This Row],[Cost of 1 Pack]],"")</f>
        <v>480</v>
      </c>
      <c r="F93" s="4">
        <f>IFERROR((VLOOKUP(Table2[[#This Row],[Product Name]],Table_0[],10,0)/1000)*Table2[[#This Row],[Order Quantity]],"")</f>
        <v>0.34599999999999997</v>
      </c>
      <c r="G93" s="3" cm="1">
        <f t="array" ref="G93">Table2[[#This Row],[Weight(kg)]]*Table4[Shiping per kg]</f>
        <v>401.13369669665997</v>
      </c>
      <c r="H93" s="3"/>
      <c r="I93" s="3">
        <f>(Table2[[#This Row],[Total Value]]/Table2[[#This Row],[Order Quantity]])+(Table2[[#This Row],[Shipping Cost]]/Table2[[#This Row],[Order Quantity]])+(Table2[[#This Row],[Taxes]]/Table2[[#This Row],[Order Quantity]])</f>
        <v>440.56684834832998</v>
      </c>
      <c r="J93" s="3">
        <f>Table2[[#This Row],[Total Value]]+Table2[[#This Row],[Shipping Cost]]+Table2[[#This Row],[Taxes]]</f>
        <v>881.13369669665997</v>
      </c>
    </row>
    <row r="94" spans="1:10" x14ac:dyDescent="0.25">
      <c r="A94" t="s">
        <v>94</v>
      </c>
      <c r="B94" t="str">
        <f>IFERROR(VLOOKUP(Table2[[#This Row],[Product Name]],Table_0[],2,0),"")</f>
        <v>IG-ORBIT</v>
      </c>
      <c r="C94" s="1">
        <v>1</v>
      </c>
      <c r="D94" s="3">
        <f>IFERROR(VLOOKUP(Table2[[#This Row],[Product Name]],Table_0[],7,0),"")</f>
        <v>160</v>
      </c>
      <c r="E94" s="3">
        <f>IFERROR(Table2[[#This Row],[Order Quantity]]*Table2[[#This Row],[Cost of 1 Pack]],"")</f>
        <v>160</v>
      </c>
      <c r="F94" s="4">
        <f>IFERROR((VLOOKUP(Table2[[#This Row],[Product Name]],Table_0[],10,0)/1000)*Table2[[#This Row],[Order Quantity]],"")</f>
        <v>0.14099999999999999</v>
      </c>
      <c r="G94" s="3" cm="1">
        <f t="array" ref="G94">Table2[[#This Row],[Weight(kg)]]*Table4[Shiping per kg]</f>
        <v>163.46777813360998</v>
      </c>
      <c r="H94" s="3"/>
      <c r="I94" s="3">
        <f>(Table2[[#This Row],[Total Value]]/Table2[[#This Row],[Order Quantity]])+(Table2[[#This Row],[Shipping Cost]]/Table2[[#This Row],[Order Quantity]])+(Table2[[#This Row],[Taxes]]/Table2[[#This Row],[Order Quantity]])</f>
        <v>323.46777813360995</v>
      </c>
      <c r="J94" s="3">
        <f>Table2[[#This Row],[Total Value]]+Table2[[#This Row],[Shipping Cost]]+Table2[[#This Row],[Taxes]]</f>
        <v>323.46777813360995</v>
      </c>
    </row>
  </sheetData>
  <dataConsolidate/>
  <mergeCells count="2">
    <mergeCell ref="A2:C2"/>
    <mergeCell ref="A1:C1"/>
  </mergeCells>
  <dataValidations count="2">
    <dataValidation allowBlank="1" promptTitle="Select Product" sqref="D1:G1 M23:XFD24 L9:L16 K3:K21 M4:XFD21 L3:L4 J1:XFD1 K2:L2 N2:XFD3 L18:L19 K22:XFD22 K23:K24 H1:I1048576 K25:XFD1048576 J3:J1048576 B3:G1048576" xr:uid="{C705F09F-D5D6-4332-841B-E7E0DA56E842}"/>
    <dataValidation showInputMessage="1" showErrorMessage="1" sqref="A1:A3" xr:uid="{D4C3B7E7-B15B-4DF7-B488-147CB0338E04}"/>
  </dataValidations>
  <pageMargins left="0.25" right="0.25" top="0.75" bottom="0.75" header="0.3" footer="0.3"/>
  <pageSetup paperSize="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PDFActiveSheet">
                <anchor moveWithCells="1" sizeWithCells="1">
                  <from>
                    <xdr:col>10</xdr:col>
                    <xdr:colOff>600075</xdr:colOff>
                    <xdr:row>20</xdr:row>
                    <xdr:rowOff>180975</xdr:rowOff>
                  </from>
                  <to>
                    <xdr:col>11</xdr:col>
                    <xdr:colOff>1028700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7"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EB8D431-C8AF-4F5C-AD39-C7C77EB872B6}">
          <x14:formula1>
            <xm:f>'Main Products'!$A$2:$A$1000</xm:f>
          </x14:formula1>
          <xm:sqref>A4:A1048576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B4DE5-10B0-4514-AFE2-D82C6441B870}">
  <sheetPr codeName="Sheet2"/>
  <dimension ref="A1:S151"/>
  <sheetViews>
    <sheetView tabSelected="1" workbookViewId="0">
      <pane xSplit="2" ySplit="1" topLeftCell="K2" activePane="bottomRight" state="frozen"/>
      <selection pane="topRight" activeCell="C1" sqref="C1"/>
      <selection pane="bottomLeft" activeCell="A2" sqref="A2"/>
      <selection pane="bottomRight" activeCell="O18" sqref="O18"/>
    </sheetView>
  </sheetViews>
  <sheetFormatPr defaultRowHeight="15" x14ac:dyDescent="0.25"/>
  <cols>
    <col min="1" max="1" width="38.7109375" bestFit="1" customWidth="1"/>
    <col min="2" max="2" width="15.140625" customWidth="1"/>
    <col min="3" max="3" width="21.85546875" hidden="1" customWidth="1"/>
    <col min="4" max="4" width="36.5703125" hidden="1" customWidth="1"/>
    <col min="5" max="5" width="18.85546875" hidden="1" customWidth="1"/>
    <col min="6" max="6" width="11.28515625" hidden="1" customWidth="1"/>
    <col min="7" max="7" width="20.42578125" hidden="1" customWidth="1"/>
    <col min="8" max="8" width="20" hidden="1" customWidth="1"/>
    <col min="9" max="9" width="9.7109375" hidden="1" customWidth="1"/>
    <col min="10" max="10" width="26" hidden="1" customWidth="1"/>
    <col min="11" max="11" width="25.7109375" bestFit="1" customWidth="1"/>
    <col min="12" max="12" width="17" style="26" bestFit="1" customWidth="1"/>
    <col min="13" max="13" width="15.85546875" style="26" bestFit="1" customWidth="1"/>
    <col min="14" max="14" width="16.7109375" style="26" bestFit="1" customWidth="1"/>
    <col min="15" max="15" width="19.5703125" bestFit="1" customWidth="1"/>
    <col min="16" max="16" width="16.7109375" bestFit="1" customWidth="1"/>
    <col min="17" max="17" width="20.5703125" bestFit="1" customWidth="1"/>
    <col min="18" max="18" width="24.85546875" bestFit="1" customWidth="1"/>
    <col min="19" max="19" width="30.140625" bestFit="1" customWidth="1"/>
  </cols>
  <sheetData>
    <row r="1" spans="1:19" ht="15.75" x14ac:dyDescent="0.3">
      <c r="A1" s="2" t="s">
        <v>0</v>
      </c>
      <c r="B1" s="2" t="s">
        <v>95</v>
      </c>
      <c r="C1" s="2" t="s">
        <v>96</v>
      </c>
      <c r="D1" s="2" t="s">
        <v>97</v>
      </c>
      <c r="E1" s="2" t="s">
        <v>98</v>
      </c>
      <c r="F1" s="2" t="s">
        <v>99</v>
      </c>
      <c r="G1" s="2" t="s">
        <v>100</v>
      </c>
      <c r="H1" s="2" t="s">
        <v>101</v>
      </c>
      <c r="I1" s="2" t="s">
        <v>102</v>
      </c>
      <c r="J1" s="2" t="s">
        <v>103</v>
      </c>
      <c r="K1" s="2" t="s">
        <v>104</v>
      </c>
      <c r="L1" s="23" t="s">
        <v>470</v>
      </c>
      <c r="M1" s="23" t="s">
        <v>105</v>
      </c>
      <c r="N1" s="23" t="s">
        <v>106</v>
      </c>
      <c r="O1" s="2" t="s">
        <v>107</v>
      </c>
      <c r="P1" s="14" t="s">
        <v>108</v>
      </c>
      <c r="Q1" s="2" t="s">
        <v>109</v>
      </c>
      <c r="R1" s="2" t="s">
        <v>110</v>
      </c>
      <c r="S1" s="2" t="s">
        <v>111</v>
      </c>
    </row>
    <row r="2" spans="1:19" x14ac:dyDescent="0.25">
      <c r="A2" s="1" t="s">
        <v>5</v>
      </c>
      <c r="B2" s="1" t="s">
        <v>112</v>
      </c>
      <c r="C2" s="1" t="s">
        <v>113</v>
      </c>
      <c r="D2" s="1" t="s">
        <v>404</v>
      </c>
      <c r="E2">
        <v>40</v>
      </c>
      <c r="F2">
        <v>18069010</v>
      </c>
      <c r="G2">
        <v>400</v>
      </c>
      <c r="H2">
        <v>10</v>
      </c>
      <c r="I2" s="1" t="s">
        <v>114</v>
      </c>
      <c r="J2">
        <v>880</v>
      </c>
      <c r="K2">
        <v>22</v>
      </c>
      <c r="L2" s="24">
        <v>115</v>
      </c>
      <c r="M2" s="24">
        <v>27</v>
      </c>
      <c r="N2" s="24">
        <v>13</v>
      </c>
      <c r="O2" s="16" t="s">
        <v>404</v>
      </c>
      <c r="P2" s="15"/>
      <c r="Q2" s="1" t="s">
        <v>404</v>
      </c>
      <c r="R2" s="1" t="s">
        <v>404</v>
      </c>
      <c r="S2" s="1" t="s">
        <v>404</v>
      </c>
    </row>
    <row r="3" spans="1:19" x14ac:dyDescent="0.25">
      <c r="A3" s="1" t="s">
        <v>6</v>
      </c>
      <c r="B3" s="1" t="s">
        <v>115</v>
      </c>
      <c r="C3" s="1" t="s">
        <v>113</v>
      </c>
      <c r="D3" s="1" t="s">
        <v>404</v>
      </c>
      <c r="E3">
        <v>54</v>
      </c>
      <c r="F3">
        <v>18069010</v>
      </c>
      <c r="G3">
        <v>270</v>
      </c>
      <c r="H3">
        <v>5</v>
      </c>
      <c r="I3" s="1" t="s">
        <v>114</v>
      </c>
      <c r="J3">
        <v>545</v>
      </c>
      <c r="K3">
        <v>10.1</v>
      </c>
      <c r="L3" s="24">
        <v>85</v>
      </c>
      <c r="M3" s="24">
        <v>25</v>
      </c>
      <c r="N3" s="24">
        <v>10</v>
      </c>
      <c r="O3" s="16" t="s">
        <v>404</v>
      </c>
      <c r="P3" s="15"/>
      <c r="Q3" s="1" t="s">
        <v>404</v>
      </c>
      <c r="R3" s="1" t="s">
        <v>404</v>
      </c>
      <c r="S3" s="1" t="s">
        <v>404</v>
      </c>
    </row>
    <row r="4" spans="1:19" x14ac:dyDescent="0.25">
      <c r="A4" s="1" t="s">
        <v>116</v>
      </c>
      <c r="B4" s="1" t="s">
        <v>117</v>
      </c>
      <c r="C4" s="1" t="s">
        <v>118</v>
      </c>
      <c r="D4" s="1" t="s">
        <v>119</v>
      </c>
      <c r="E4">
        <v>24</v>
      </c>
      <c r="H4">
        <v>0</v>
      </c>
      <c r="I4" s="1" t="s">
        <v>114</v>
      </c>
      <c r="K4">
        <v>0</v>
      </c>
      <c r="L4" s="24"/>
      <c r="M4" s="24"/>
      <c r="N4" s="24"/>
      <c r="O4" s="16" t="s">
        <v>405</v>
      </c>
      <c r="P4" s="17">
        <v>9928910000000</v>
      </c>
      <c r="Q4" s="1" t="s">
        <v>404</v>
      </c>
      <c r="R4" s="1" t="s">
        <v>404</v>
      </c>
      <c r="S4" s="1" t="s">
        <v>404</v>
      </c>
    </row>
    <row r="5" spans="1:19" x14ac:dyDescent="0.25">
      <c r="A5" s="1" t="s">
        <v>120</v>
      </c>
      <c r="B5" s="1" t="s">
        <v>121</v>
      </c>
      <c r="C5" s="1" t="s">
        <v>122</v>
      </c>
      <c r="D5" s="1" t="s">
        <v>404</v>
      </c>
      <c r="I5" s="1" t="s">
        <v>404</v>
      </c>
      <c r="L5" s="24"/>
      <c r="M5" s="24"/>
      <c r="N5" s="24"/>
      <c r="O5" s="16" t="s">
        <v>404</v>
      </c>
      <c r="P5" s="15"/>
      <c r="Q5" s="1" t="s">
        <v>404</v>
      </c>
      <c r="R5" s="1" t="s">
        <v>404</v>
      </c>
      <c r="S5" s="1" t="s">
        <v>404</v>
      </c>
    </row>
    <row r="6" spans="1:19" x14ac:dyDescent="0.25">
      <c r="A6" s="1" t="s">
        <v>7</v>
      </c>
      <c r="B6" s="1" t="s">
        <v>123</v>
      </c>
      <c r="C6" s="1" t="s">
        <v>124</v>
      </c>
      <c r="D6" s="1" t="s">
        <v>125</v>
      </c>
      <c r="E6">
        <v>48</v>
      </c>
      <c r="F6">
        <v>17049020</v>
      </c>
      <c r="G6">
        <v>240</v>
      </c>
      <c r="H6">
        <v>5</v>
      </c>
      <c r="I6" s="1" t="s">
        <v>114</v>
      </c>
      <c r="J6">
        <v>384</v>
      </c>
      <c r="K6">
        <v>8</v>
      </c>
      <c r="L6" s="24"/>
      <c r="M6" s="24"/>
      <c r="N6" s="24"/>
      <c r="O6" s="16" t="s">
        <v>406</v>
      </c>
      <c r="P6" s="15"/>
      <c r="Q6" s="1" t="s">
        <v>114</v>
      </c>
      <c r="R6" s="1" t="s">
        <v>126</v>
      </c>
      <c r="S6" s="1" t="s">
        <v>404</v>
      </c>
    </row>
    <row r="7" spans="1:19" x14ac:dyDescent="0.25">
      <c r="A7" s="1" t="s">
        <v>8</v>
      </c>
      <c r="B7" s="1" t="s">
        <v>127</v>
      </c>
      <c r="C7" s="1" t="s">
        <v>124</v>
      </c>
      <c r="D7" s="1" t="s">
        <v>125</v>
      </c>
      <c r="E7">
        <v>100</v>
      </c>
      <c r="F7">
        <v>17049020</v>
      </c>
      <c r="G7">
        <v>100</v>
      </c>
      <c r="H7">
        <v>1</v>
      </c>
      <c r="I7" s="1" t="s">
        <v>114</v>
      </c>
      <c r="J7">
        <v>380</v>
      </c>
      <c r="K7">
        <v>4</v>
      </c>
      <c r="L7" s="24"/>
      <c r="M7" s="24"/>
      <c r="N7" s="24"/>
      <c r="O7" s="16" t="s">
        <v>404</v>
      </c>
      <c r="P7" s="15"/>
      <c r="Q7" s="1" t="s">
        <v>114</v>
      </c>
      <c r="R7" s="1" t="s">
        <v>126</v>
      </c>
      <c r="S7" s="1" t="s">
        <v>404</v>
      </c>
    </row>
    <row r="8" spans="1:19" x14ac:dyDescent="0.25">
      <c r="A8" s="1" t="s">
        <v>9</v>
      </c>
      <c r="B8" s="1" t="s">
        <v>128</v>
      </c>
      <c r="C8" s="1" t="s">
        <v>124</v>
      </c>
      <c r="D8" s="1" t="s">
        <v>125</v>
      </c>
      <c r="E8">
        <v>100</v>
      </c>
      <c r="F8">
        <v>17049020</v>
      </c>
      <c r="G8">
        <v>100</v>
      </c>
      <c r="H8">
        <v>1</v>
      </c>
      <c r="I8" s="1" t="s">
        <v>114</v>
      </c>
      <c r="J8">
        <v>380</v>
      </c>
      <c r="K8">
        <v>4</v>
      </c>
      <c r="L8" s="24"/>
      <c r="M8" s="24"/>
      <c r="N8" s="24"/>
      <c r="O8" s="16" t="s">
        <v>404</v>
      </c>
      <c r="P8" s="15"/>
      <c r="Q8" s="1" t="s">
        <v>114</v>
      </c>
      <c r="R8" s="1" t="s">
        <v>126</v>
      </c>
      <c r="S8" s="1" t="s">
        <v>404</v>
      </c>
    </row>
    <row r="9" spans="1:19" x14ac:dyDescent="0.25">
      <c r="A9" s="1" t="s">
        <v>10</v>
      </c>
      <c r="B9" s="1" t="s">
        <v>129</v>
      </c>
      <c r="C9" s="1" t="s">
        <v>124</v>
      </c>
      <c r="D9" s="1" t="s">
        <v>125</v>
      </c>
      <c r="E9">
        <v>100</v>
      </c>
      <c r="F9">
        <v>17049020</v>
      </c>
      <c r="G9">
        <v>100</v>
      </c>
      <c r="H9">
        <v>1</v>
      </c>
      <c r="I9" s="1" t="s">
        <v>114</v>
      </c>
      <c r="J9">
        <v>390</v>
      </c>
      <c r="K9">
        <v>4</v>
      </c>
      <c r="L9" s="24"/>
      <c r="M9" s="24"/>
      <c r="N9" s="24"/>
      <c r="O9" s="16" t="s">
        <v>404</v>
      </c>
      <c r="P9" s="15"/>
      <c r="Q9" s="1" t="s">
        <v>114</v>
      </c>
      <c r="R9" s="1" t="s">
        <v>126</v>
      </c>
      <c r="S9" s="1" t="s">
        <v>404</v>
      </c>
    </row>
    <row r="10" spans="1:19" x14ac:dyDescent="0.25">
      <c r="A10" s="1" t="s">
        <v>11</v>
      </c>
      <c r="B10" s="1" t="s">
        <v>130</v>
      </c>
      <c r="C10" s="1" t="s">
        <v>131</v>
      </c>
      <c r="D10" s="1" t="s">
        <v>132</v>
      </c>
      <c r="E10">
        <v>1</v>
      </c>
      <c r="F10">
        <v>20089999</v>
      </c>
      <c r="G10">
        <v>60</v>
      </c>
      <c r="H10">
        <v>60</v>
      </c>
      <c r="I10" s="1" t="s">
        <v>114</v>
      </c>
      <c r="J10">
        <v>200</v>
      </c>
      <c r="K10">
        <v>200</v>
      </c>
      <c r="L10" s="24"/>
      <c r="M10" s="24"/>
      <c r="N10" s="24"/>
      <c r="O10" s="16" t="s">
        <v>407</v>
      </c>
      <c r="P10" s="15"/>
      <c r="Q10" s="1" t="s">
        <v>114</v>
      </c>
      <c r="R10" s="1" t="s">
        <v>126</v>
      </c>
      <c r="S10" s="1" t="s">
        <v>404</v>
      </c>
    </row>
    <row r="11" spans="1:19" x14ac:dyDescent="0.25">
      <c r="A11" s="1" t="s">
        <v>133</v>
      </c>
      <c r="B11" s="1" t="s">
        <v>134</v>
      </c>
      <c r="C11" s="1" t="s">
        <v>135</v>
      </c>
      <c r="D11" s="1" t="s">
        <v>136</v>
      </c>
      <c r="E11">
        <v>20</v>
      </c>
      <c r="H11">
        <v>0</v>
      </c>
      <c r="I11" s="1" t="s">
        <v>114</v>
      </c>
      <c r="J11">
        <v>100</v>
      </c>
      <c r="K11">
        <v>5</v>
      </c>
      <c r="L11" s="24"/>
      <c r="M11" s="24"/>
      <c r="N11" s="24"/>
      <c r="O11" s="16" t="s">
        <v>408</v>
      </c>
      <c r="P11" s="15"/>
      <c r="Q11" s="1" t="s">
        <v>404</v>
      </c>
      <c r="R11" s="1" t="s">
        <v>404</v>
      </c>
      <c r="S11" s="1" t="s">
        <v>404</v>
      </c>
    </row>
    <row r="12" spans="1:19" x14ac:dyDescent="0.25">
      <c r="A12" s="1" t="s">
        <v>12</v>
      </c>
      <c r="B12" s="1" t="s">
        <v>137</v>
      </c>
      <c r="C12" s="1" t="s">
        <v>138</v>
      </c>
      <c r="D12" s="1" t="s">
        <v>404</v>
      </c>
      <c r="E12">
        <v>1</v>
      </c>
      <c r="F12">
        <v>17041000</v>
      </c>
      <c r="G12">
        <v>55</v>
      </c>
      <c r="H12">
        <v>55</v>
      </c>
      <c r="I12" s="1" t="s">
        <v>114</v>
      </c>
      <c r="J12">
        <v>24</v>
      </c>
      <c r="K12">
        <v>24</v>
      </c>
      <c r="L12" s="24"/>
      <c r="M12" s="24"/>
      <c r="N12" s="24"/>
      <c r="O12" s="16" t="s">
        <v>404</v>
      </c>
      <c r="P12" s="15"/>
      <c r="Q12" s="1" t="s">
        <v>404</v>
      </c>
      <c r="R12" s="1" t="s">
        <v>404</v>
      </c>
      <c r="S12" s="1" t="s">
        <v>404</v>
      </c>
    </row>
    <row r="13" spans="1:19" x14ac:dyDescent="0.25">
      <c r="A13" s="1" t="s">
        <v>13</v>
      </c>
      <c r="B13" s="1" t="s">
        <v>139</v>
      </c>
      <c r="C13" s="1" t="s">
        <v>140</v>
      </c>
      <c r="D13" s="1" t="s">
        <v>141</v>
      </c>
      <c r="E13">
        <v>1</v>
      </c>
      <c r="F13">
        <v>19049000</v>
      </c>
      <c r="G13">
        <v>10</v>
      </c>
      <c r="H13">
        <v>10</v>
      </c>
      <c r="I13" s="1" t="s">
        <v>114</v>
      </c>
      <c r="K13">
        <v>0</v>
      </c>
      <c r="L13" s="24"/>
      <c r="M13" s="24"/>
      <c r="N13" s="24"/>
      <c r="O13" s="16" t="s">
        <v>409</v>
      </c>
      <c r="P13" s="15"/>
      <c r="Q13" s="1" t="s">
        <v>114</v>
      </c>
      <c r="R13" s="1" t="s">
        <v>404</v>
      </c>
      <c r="S13" s="1" t="s">
        <v>404</v>
      </c>
    </row>
    <row r="14" spans="1:19" x14ac:dyDescent="0.25">
      <c r="A14" s="1" t="s">
        <v>14</v>
      </c>
      <c r="B14" s="1" t="s">
        <v>142</v>
      </c>
      <c r="C14" s="1" t="s">
        <v>140</v>
      </c>
      <c r="D14" s="1" t="s">
        <v>141</v>
      </c>
      <c r="E14">
        <v>1</v>
      </c>
      <c r="F14">
        <v>19049000</v>
      </c>
      <c r="G14">
        <v>5</v>
      </c>
      <c r="H14">
        <v>5</v>
      </c>
      <c r="I14" s="1" t="s">
        <v>114</v>
      </c>
      <c r="K14">
        <v>0</v>
      </c>
      <c r="L14" s="25" t="s">
        <v>440</v>
      </c>
      <c r="M14" s="24" t="s">
        <v>441</v>
      </c>
      <c r="N14" s="24" t="s">
        <v>442</v>
      </c>
      <c r="O14" s="16" t="s">
        <v>409</v>
      </c>
      <c r="P14" s="15"/>
      <c r="Q14" s="1" t="s">
        <v>114</v>
      </c>
      <c r="R14" s="1" t="s">
        <v>404</v>
      </c>
      <c r="S14" s="1" t="s">
        <v>404</v>
      </c>
    </row>
    <row r="15" spans="1:19" x14ac:dyDescent="0.25">
      <c r="A15" s="1" t="s">
        <v>15</v>
      </c>
      <c r="B15" s="1" t="s">
        <v>143</v>
      </c>
      <c r="C15" s="1" t="s">
        <v>140</v>
      </c>
      <c r="D15" s="1" t="s">
        <v>141</v>
      </c>
      <c r="E15">
        <v>1</v>
      </c>
      <c r="F15">
        <v>19049000</v>
      </c>
      <c r="G15">
        <v>10</v>
      </c>
      <c r="H15">
        <v>10</v>
      </c>
      <c r="I15" s="1" t="s">
        <v>114</v>
      </c>
      <c r="K15">
        <v>0</v>
      </c>
      <c r="L15" s="24"/>
      <c r="M15" s="24"/>
      <c r="N15" s="24"/>
      <c r="O15" s="16" t="s">
        <v>409</v>
      </c>
      <c r="P15" s="15"/>
      <c r="Q15" s="1" t="s">
        <v>114</v>
      </c>
      <c r="R15" s="1" t="s">
        <v>404</v>
      </c>
      <c r="S15" s="1" t="s">
        <v>404</v>
      </c>
    </row>
    <row r="16" spans="1:19" x14ac:dyDescent="0.25">
      <c r="A16" s="1" t="s">
        <v>16</v>
      </c>
      <c r="B16" s="1" t="s">
        <v>144</v>
      </c>
      <c r="C16" s="1" t="s">
        <v>140</v>
      </c>
      <c r="D16" s="1" t="s">
        <v>141</v>
      </c>
      <c r="E16">
        <v>1</v>
      </c>
      <c r="F16">
        <v>19049000</v>
      </c>
      <c r="G16">
        <v>5</v>
      </c>
      <c r="H16">
        <v>5</v>
      </c>
      <c r="I16" s="1" t="s">
        <v>114</v>
      </c>
      <c r="K16">
        <v>0</v>
      </c>
      <c r="L16" s="24"/>
      <c r="M16" s="24"/>
      <c r="N16" s="24"/>
      <c r="O16" s="16" t="s">
        <v>409</v>
      </c>
      <c r="P16" s="15"/>
      <c r="Q16" s="1" t="s">
        <v>114</v>
      </c>
      <c r="R16" s="1" t="s">
        <v>404</v>
      </c>
      <c r="S16" s="1" t="s">
        <v>404</v>
      </c>
    </row>
    <row r="17" spans="1:19" x14ac:dyDescent="0.25">
      <c r="A17" s="1" t="s">
        <v>17</v>
      </c>
      <c r="B17" s="1" t="s">
        <v>145</v>
      </c>
      <c r="C17" s="1" t="s">
        <v>146</v>
      </c>
      <c r="D17" s="1" t="s">
        <v>136</v>
      </c>
      <c r="E17">
        <v>28</v>
      </c>
      <c r="F17">
        <v>17049020</v>
      </c>
      <c r="G17">
        <v>28</v>
      </c>
      <c r="H17">
        <v>1</v>
      </c>
      <c r="I17" s="1" t="s">
        <v>114</v>
      </c>
      <c r="J17">
        <v>140</v>
      </c>
      <c r="K17">
        <v>5</v>
      </c>
      <c r="L17" s="24"/>
      <c r="M17" s="24"/>
      <c r="N17" s="24"/>
      <c r="O17" s="16" t="s">
        <v>404</v>
      </c>
      <c r="P17" s="15"/>
      <c r="Q17" s="1" t="s">
        <v>404</v>
      </c>
      <c r="R17" s="1" t="s">
        <v>404</v>
      </c>
      <c r="S17" s="1" t="s">
        <v>404</v>
      </c>
    </row>
    <row r="18" spans="1:19" x14ac:dyDescent="0.25">
      <c r="A18" s="1" t="s">
        <v>18</v>
      </c>
      <c r="B18" s="1" t="s">
        <v>147</v>
      </c>
      <c r="C18" s="1" t="s">
        <v>148</v>
      </c>
      <c r="D18" s="1" t="s">
        <v>149</v>
      </c>
      <c r="E18">
        <v>150</v>
      </c>
      <c r="F18">
        <v>17041000</v>
      </c>
      <c r="G18">
        <v>150</v>
      </c>
      <c r="H18">
        <v>1</v>
      </c>
      <c r="I18" s="1" t="s">
        <v>114</v>
      </c>
      <c r="J18">
        <v>510</v>
      </c>
      <c r="K18">
        <v>3</v>
      </c>
      <c r="L18" s="24"/>
      <c r="M18" s="24"/>
      <c r="N18" s="24"/>
      <c r="O18" s="16" t="s">
        <v>404</v>
      </c>
      <c r="P18" s="15"/>
      <c r="Q18" s="1" t="s">
        <v>114</v>
      </c>
      <c r="R18" s="1" t="s">
        <v>126</v>
      </c>
      <c r="S18" s="1" t="s">
        <v>404</v>
      </c>
    </row>
    <row r="19" spans="1:19" x14ac:dyDescent="0.25">
      <c r="A19" s="1" t="s">
        <v>150</v>
      </c>
      <c r="B19" s="1" t="s">
        <v>151</v>
      </c>
      <c r="C19" s="1" t="s">
        <v>113</v>
      </c>
      <c r="D19" s="1" t="s">
        <v>404</v>
      </c>
      <c r="I19" s="1" t="s">
        <v>404</v>
      </c>
      <c r="K19">
        <v>25</v>
      </c>
      <c r="L19" s="26" t="s">
        <v>443</v>
      </c>
      <c r="M19" s="26" t="s">
        <v>444</v>
      </c>
      <c r="N19" s="26" t="s">
        <v>445</v>
      </c>
      <c r="O19" s="16" t="s">
        <v>404</v>
      </c>
      <c r="P19" s="15"/>
      <c r="Q19" s="1" t="s">
        <v>404</v>
      </c>
      <c r="R19" s="1" t="s">
        <v>404</v>
      </c>
      <c r="S19" s="1" t="s">
        <v>404</v>
      </c>
    </row>
    <row r="20" spans="1:19" x14ac:dyDescent="0.25">
      <c r="A20" s="1" t="s">
        <v>19</v>
      </c>
      <c r="B20" s="1" t="s">
        <v>152</v>
      </c>
      <c r="C20" s="1" t="s">
        <v>138</v>
      </c>
      <c r="D20" s="1" t="s">
        <v>125</v>
      </c>
      <c r="E20">
        <v>225</v>
      </c>
      <c r="F20">
        <v>17041000</v>
      </c>
      <c r="G20">
        <v>225</v>
      </c>
      <c r="H20">
        <v>1</v>
      </c>
      <c r="I20" s="1" t="s">
        <v>114</v>
      </c>
      <c r="J20">
        <v>675</v>
      </c>
      <c r="K20">
        <v>3</v>
      </c>
      <c r="L20" s="24"/>
      <c r="M20" s="24"/>
      <c r="N20" s="24"/>
      <c r="O20" s="16" t="s">
        <v>404</v>
      </c>
      <c r="P20" s="15"/>
      <c r="Q20" s="1" t="s">
        <v>114</v>
      </c>
      <c r="R20" s="1" t="s">
        <v>126</v>
      </c>
      <c r="S20" s="1" t="s">
        <v>404</v>
      </c>
    </row>
    <row r="21" spans="1:19" x14ac:dyDescent="0.25">
      <c r="A21" s="1" t="s">
        <v>410</v>
      </c>
      <c r="B21" s="1" t="s">
        <v>153</v>
      </c>
      <c r="C21" s="1" t="s">
        <v>138</v>
      </c>
      <c r="D21" s="1" t="s">
        <v>404</v>
      </c>
      <c r="I21" s="1" t="s">
        <v>404</v>
      </c>
      <c r="L21" s="24"/>
      <c r="M21" s="24"/>
      <c r="N21" s="24"/>
      <c r="O21" s="16" t="s">
        <v>404</v>
      </c>
      <c r="P21" s="15"/>
      <c r="Q21" s="1" t="s">
        <v>404</v>
      </c>
      <c r="R21" s="1" t="s">
        <v>404</v>
      </c>
      <c r="S21" s="1" t="s">
        <v>404</v>
      </c>
    </row>
    <row r="22" spans="1:19" x14ac:dyDescent="0.25">
      <c r="A22" s="1" t="s">
        <v>20</v>
      </c>
      <c r="B22" s="1" t="s">
        <v>154</v>
      </c>
      <c r="C22" s="1" t="s">
        <v>138</v>
      </c>
      <c r="D22" s="1" t="s">
        <v>125</v>
      </c>
      <c r="E22">
        <v>24</v>
      </c>
      <c r="F22">
        <v>17049090</v>
      </c>
      <c r="G22">
        <v>240</v>
      </c>
      <c r="H22">
        <v>10</v>
      </c>
      <c r="I22" s="1" t="s">
        <v>114</v>
      </c>
      <c r="J22">
        <v>110</v>
      </c>
      <c r="K22">
        <v>5</v>
      </c>
      <c r="L22" s="24"/>
      <c r="M22" s="24"/>
      <c r="N22" s="24"/>
      <c r="O22" s="16" t="s">
        <v>404</v>
      </c>
      <c r="P22" s="15"/>
      <c r="Q22" s="1" t="s">
        <v>114</v>
      </c>
      <c r="R22" s="1" t="s">
        <v>126</v>
      </c>
      <c r="S22" s="1" t="s">
        <v>404</v>
      </c>
    </row>
    <row r="23" spans="1:19" x14ac:dyDescent="0.25">
      <c r="A23" s="1" t="s">
        <v>21</v>
      </c>
      <c r="B23" s="1" t="s">
        <v>155</v>
      </c>
      <c r="C23" s="1" t="s">
        <v>138</v>
      </c>
      <c r="D23" s="1" t="s">
        <v>125</v>
      </c>
      <c r="E23">
        <v>200</v>
      </c>
      <c r="F23">
        <v>17041000</v>
      </c>
      <c r="G23">
        <v>200</v>
      </c>
      <c r="H23">
        <v>1</v>
      </c>
      <c r="I23" s="1" t="s">
        <v>114</v>
      </c>
      <c r="J23">
        <v>600</v>
      </c>
      <c r="K23">
        <v>3</v>
      </c>
      <c r="L23" s="24"/>
      <c r="M23" s="24"/>
      <c r="N23" s="24"/>
      <c r="O23" s="16" t="s">
        <v>404</v>
      </c>
      <c r="P23" s="15"/>
      <c r="Q23" s="1" t="s">
        <v>114</v>
      </c>
      <c r="R23" s="1" t="s">
        <v>126</v>
      </c>
      <c r="S23" s="1" t="s">
        <v>404</v>
      </c>
    </row>
    <row r="24" spans="1:19" x14ac:dyDescent="0.25">
      <c r="A24" s="1" t="s">
        <v>156</v>
      </c>
      <c r="B24" s="1" t="s">
        <v>157</v>
      </c>
      <c r="C24" s="1" t="s">
        <v>138</v>
      </c>
      <c r="D24" s="1" t="s">
        <v>404</v>
      </c>
      <c r="I24" s="1" t="s">
        <v>404</v>
      </c>
      <c r="L24" s="24"/>
      <c r="M24" s="24"/>
      <c r="N24" s="24"/>
      <c r="O24" s="16" t="s">
        <v>404</v>
      </c>
      <c r="P24" s="15"/>
      <c r="Q24" s="1" t="s">
        <v>404</v>
      </c>
      <c r="R24" s="1" t="s">
        <v>404</v>
      </c>
      <c r="S24" s="1" t="s">
        <v>404</v>
      </c>
    </row>
    <row r="25" spans="1:19" x14ac:dyDescent="0.25">
      <c r="A25" s="1" t="s">
        <v>158</v>
      </c>
      <c r="B25" s="1" t="s">
        <v>159</v>
      </c>
      <c r="C25" s="1" t="s">
        <v>138</v>
      </c>
      <c r="D25" s="1" t="s">
        <v>404</v>
      </c>
      <c r="I25" s="1" t="s">
        <v>404</v>
      </c>
      <c r="L25" s="24"/>
      <c r="M25" s="24"/>
      <c r="N25" s="24"/>
      <c r="O25" s="16" t="s">
        <v>404</v>
      </c>
      <c r="P25" s="15"/>
      <c r="Q25" s="1" t="s">
        <v>404</v>
      </c>
      <c r="R25" s="1" t="s">
        <v>404</v>
      </c>
      <c r="S25" s="1" t="s">
        <v>404</v>
      </c>
    </row>
    <row r="26" spans="1:19" x14ac:dyDescent="0.25">
      <c r="A26" s="1" t="s">
        <v>160</v>
      </c>
      <c r="B26" s="1" t="s">
        <v>161</v>
      </c>
      <c r="C26" s="1" t="s">
        <v>162</v>
      </c>
      <c r="D26" s="1" t="s">
        <v>404</v>
      </c>
      <c r="I26" s="1" t="s">
        <v>404</v>
      </c>
      <c r="L26" s="26" t="s">
        <v>446</v>
      </c>
      <c r="M26" s="26" t="s">
        <v>447</v>
      </c>
      <c r="N26" s="26" t="s">
        <v>448</v>
      </c>
      <c r="O26" s="16" t="s">
        <v>404</v>
      </c>
      <c r="P26" s="15"/>
      <c r="Q26" s="1" t="s">
        <v>404</v>
      </c>
      <c r="R26" s="1" t="s">
        <v>404</v>
      </c>
      <c r="S26" s="1" t="s">
        <v>404</v>
      </c>
    </row>
    <row r="27" spans="1:19" x14ac:dyDescent="0.25">
      <c r="A27" s="1" t="s">
        <v>163</v>
      </c>
      <c r="B27" s="1" t="s">
        <v>164</v>
      </c>
      <c r="C27" s="1" t="s">
        <v>118</v>
      </c>
      <c r="D27" s="1" t="s">
        <v>165</v>
      </c>
      <c r="E27">
        <v>24</v>
      </c>
      <c r="H27">
        <v>0</v>
      </c>
      <c r="I27" s="1" t="s">
        <v>114</v>
      </c>
      <c r="K27">
        <v>0</v>
      </c>
      <c r="L27" s="24"/>
      <c r="M27" s="24"/>
      <c r="N27" s="24"/>
      <c r="O27" s="16" t="s">
        <v>405</v>
      </c>
      <c r="P27" s="15"/>
      <c r="Q27" s="1" t="s">
        <v>404</v>
      </c>
      <c r="R27" s="1" t="s">
        <v>404</v>
      </c>
      <c r="S27" s="1" t="s">
        <v>404</v>
      </c>
    </row>
    <row r="28" spans="1:19" x14ac:dyDescent="0.25">
      <c r="A28" s="1" t="s">
        <v>22</v>
      </c>
      <c r="B28" s="1" t="s">
        <v>166</v>
      </c>
      <c r="C28" s="1" t="s">
        <v>113</v>
      </c>
      <c r="D28" s="1" t="s">
        <v>404</v>
      </c>
      <c r="E28">
        <v>110</v>
      </c>
      <c r="F28">
        <v>18069010</v>
      </c>
      <c r="G28">
        <v>200</v>
      </c>
      <c r="H28">
        <v>1.82</v>
      </c>
      <c r="I28" s="1" t="s">
        <v>114</v>
      </c>
      <c r="J28">
        <v>605</v>
      </c>
      <c r="K28">
        <v>6</v>
      </c>
      <c r="L28" s="24"/>
      <c r="M28" s="24"/>
      <c r="N28" s="24"/>
      <c r="O28" s="16" t="s">
        <v>404</v>
      </c>
      <c r="P28" s="15"/>
      <c r="Q28" s="1" t="s">
        <v>404</v>
      </c>
      <c r="R28" s="1" t="s">
        <v>404</v>
      </c>
      <c r="S28" s="1" t="s">
        <v>404</v>
      </c>
    </row>
    <row r="29" spans="1:19" x14ac:dyDescent="0.25">
      <c r="A29" s="1" t="s">
        <v>167</v>
      </c>
      <c r="B29" s="1" t="s">
        <v>168</v>
      </c>
      <c r="C29" s="1" t="s">
        <v>169</v>
      </c>
      <c r="D29" s="1" t="s">
        <v>404</v>
      </c>
      <c r="I29" s="1" t="s">
        <v>404</v>
      </c>
      <c r="L29" s="24"/>
      <c r="M29" s="24"/>
      <c r="N29" s="24"/>
      <c r="O29" s="16" t="s">
        <v>404</v>
      </c>
      <c r="P29" s="15"/>
      <c r="Q29" s="1" t="s">
        <v>404</v>
      </c>
      <c r="R29" s="1" t="s">
        <v>404</v>
      </c>
      <c r="S29" s="1" t="s">
        <v>404</v>
      </c>
    </row>
    <row r="30" spans="1:19" x14ac:dyDescent="0.25">
      <c r="A30" s="1" t="s">
        <v>23</v>
      </c>
      <c r="B30" s="1" t="s">
        <v>170</v>
      </c>
      <c r="C30" s="1" t="s">
        <v>169</v>
      </c>
      <c r="D30" s="1" t="s">
        <v>171</v>
      </c>
      <c r="E30">
        <v>70</v>
      </c>
      <c r="F30">
        <v>18069010</v>
      </c>
      <c r="G30">
        <v>350</v>
      </c>
      <c r="H30">
        <v>5</v>
      </c>
      <c r="I30" s="1" t="s">
        <v>114</v>
      </c>
      <c r="J30">
        <v>770</v>
      </c>
      <c r="K30">
        <v>11</v>
      </c>
      <c r="L30" s="24"/>
      <c r="M30" s="24"/>
      <c r="N30" s="24"/>
      <c r="O30" s="16" t="s">
        <v>404</v>
      </c>
      <c r="P30" s="15"/>
      <c r="Q30" s="1" t="s">
        <v>114</v>
      </c>
      <c r="R30" s="1" t="s">
        <v>126</v>
      </c>
      <c r="S30" s="1" t="s">
        <v>404</v>
      </c>
    </row>
    <row r="31" spans="1:19" x14ac:dyDescent="0.25">
      <c r="A31" s="1" t="s">
        <v>24</v>
      </c>
      <c r="B31" s="1" t="s">
        <v>172</v>
      </c>
      <c r="C31" s="1" t="s">
        <v>169</v>
      </c>
      <c r="D31" s="1" t="s">
        <v>171</v>
      </c>
      <c r="E31">
        <v>150</v>
      </c>
      <c r="F31">
        <v>17049090</v>
      </c>
      <c r="G31">
        <v>150</v>
      </c>
      <c r="H31">
        <v>1</v>
      </c>
      <c r="I31" s="1" t="s">
        <v>114</v>
      </c>
      <c r="J31">
        <v>570</v>
      </c>
      <c r="K31">
        <v>4</v>
      </c>
      <c r="L31" s="24"/>
      <c r="M31" s="24"/>
      <c r="N31" s="24"/>
      <c r="O31" s="16" t="s">
        <v>404</v>
      </c>
      <c r="P31" s="15"/>
      <c r="Q31" s="1" t="s">
        <v>404</v>
      </c>
      <c r="R31" s="1" t="s">
        <v>404</v>
      </c>
      <c r="S31" s="1" t="s">
        <v>404</v>
      </c>
    </row>
    <row r="32" spans="1:19" x14ac:dyDescent="0.25">
      <c r="A32" s="1" t="s">
        <v>25</v>
      </c>
      <c r="B32" s="1" t="s">
        <v>173</v>
      </c>
      <c r="C32" s="1" t="s">
        <v>169</v>
      </c>
      <c r="D32" s="1" t="s">
        <v>171</v>
      </c>
      <c r="E32">
        <v>166</v>
      </c>
      <c r="F32">
        <v>17049090</v>
      </c>
      <c r="G32">
        <v>166</v>
      </c>
      <c r="H32">
        <v>1</v>
      </c>
      <c r="I32" s="1" t="s">
        <v>114</v>
      </c>
      <c r="J32">
        <v>664</v>
      </c>
      <c r="K32">
        <v>4</v>
      </c>
      <c r="L32" s="24"/>
      <c r="M32" s="24"/>
      <c r="N32" s="24"/>
      <c r="O32" s="16" t="s">
        <v>404</v>
      </c>
      <c r="P32" s="15"/>
      <c r="Q32" s="1" t="s">
        <v>404</v>
      </c>
      <c r="R32" s="1" t="s">
        <v>404</v>
      </c>
      <c r="S32" s="1" t="s">
        <v>404</v>
      </c>
    </row>
    <row r="33" spans="1:19" x14ac:dyDescent="0.25">
      <c r="A33" s="1" t="s">
        <v>26</v>
      </c>
      <c r="B33" s="1" t="s">
        <v>174</v>
      </c>
      <c r="C33" s="1" t="s">
        <v>175</v>
      </c>
      <c r="D33" s="1" t="s">
        <v>176</v>
      </c>
      <c r="E33">
        <v>100</v>
      </c>
      <c r="F33">
        <v>17049010</v>
      </c>
      <c r="G33">
        <v>400</v>
      </c>
      <c r="H33">
        <v>4</v>
      </c>
      <c r="I33" s="1" t="s">
        <v>114</v>
      </c>
      <c r="J33">
        <v>1500</v>
      </c>
      <c r="K33">
        <v>15</v>
      </c>
      <c r="L33" s="24"/>
      <c r="M33" s="24"/>
      <c r="N33" s="24"/>
      <c r="O33" s="16" t="s">
        <v>404</v>
      </c>
      <c r="P33" s="15"/>
      <c r="Q33" s="1" t="s">
        <v>114</v>
      </c>
      <c r="R33" s="1" t="s">
        <v>114</v>
      </c>
      <c r="S33" s="1" t="s">
        <v>404</v>
      </c>
    </row>
    <row r="34" spans="1:19" x14ac:dyDescent="0.25">
      <c r="A34" s="1" t="s">
        <v>177</v>
      </c>
      <c r="B34" s="1" t="s">
        <v>178</v>
      </c>
      <c r="C34" s="1" t="s">
        <v>404</v>
      </c>
      <c r="D34" s="1" t="s">
        <v>404</v>
      </c>
      <c r="I34" s="1" t="s">
        <v>404</v>
      </c>
      <c r="L34" s="24"/>
      <c r="M34" s="24"/>
      <c r="N34" s="24"/>
      <c r="O34" s="16" t="s">
        <v>404</v>
      </c>
      <c r="P34" s="15"/>
      <c r="Q34" s="1" t="s">
        <v>404</v>
      </c>
      <c r="R34" s="1" t="s">
        <v>404</v>
      </c>
      <c r="S34" s="1" t="s">
        <v>404</v>
      </c>
    </row>
    <row r="35" spans="1:19" x14ac:dyDescent="0.25">
      <c r="A35" s="1" t="s">
        <v>27</v>
      </c>
      <c r="B35" s="1" t="s">
        <v>179</v>
      </c>
      <c r="C35" s="1" t="s">
        <v>180</v>
      </c>
      <c r="D35" s="1" t="s">
        <v>181</v>
      </c>
      <c r="E35">
        <v>30</v>
      </c>
      <c r="F35">
        <v>17049090</v>
      </c>
      <c r="G35">
        <v>150</v>
      </c>
      <c r="H35">
        <v>5</v>
      </c>
      <c r="I35" s="1" t="s">
        <v>114</v>
      </c>
      <c r="J35">
        <v>690</v>
      </c>
      <c r="K35">
        <v>23</v>
      </c>
      <c r="L35" s="24">
        <v>67</v>
      </c>
      <c r="M35" s="24">
        <v>16</v>
      </c>
      <c r="N35" s="24">
        <v>16</v>
      </c>
      <c r="O35" s="16" t="s">
        <v>411</v>
      </c>
      <c r="P35" s="15"/>
      <c r="Q35" s="1" t="s">
        <v>404</v>
      </c>
      <c r="R35" s="1" t="s">
        <v>404</v>
      </c>
      <c r="S35" s="1" t="s">
        <v>404</v>
      </c>
    </row>
    <row r="36" spans="1:19" x14ac:dyDescent="0.25">
      <c r="A36" s="1" t="s">
        <v>182</v>
      </c>
      <c r="B36" s="1" t="s">
        <v>183</v>
      </c>
      <c r="C36" s="1" t="s">
        <v>404</v>
      </c>
      <c r="D36" s="1" t="s">
        <v>404</v>
      </c>
      <c r="I36" s="1" t="s">
        <v>114</v>
      </c>
      <c r="L36" s="24"/>
      <c r="M36" s="24"/>
      <c r="N36" s="24"/>
      <c r="O36" s="16" t="s">
        <v>404</v>
      </c>
      <c r="P36" s="15"/>
      <c r="Q36" s="1" t="s">
        <v>404</v>
      </c>
      <c r="R36" s="1" t="s">
        <v>404</v>
      </c>
      <c r="S36" s="1" t="s">
        <v>404</v>
      </c>
    </row>
    <row r="37" spans="1:19" x14ac:dyDescent="0.25">
      <c r="A37" s="1" t="s">
        <v>28</v>
      </c>
      <c r="B37" s="1" t="s">
        <v>184</v>
      </c>
      <c r="C37" s="1" t="s">
        <v>185</v>
      </c>
      <c r="D37" s="1" t="s">
        <v>404</v>
      </c>
      <c r="E37">
        <v>1</v>
      </c>
      <c r="F37">
        <v>17059090</v>
      </c>
      <c r="G37">
        <v>5</v>
      </c>
      <c r="H37">
        <v>5</v>
      </c>
      <c r="I37" s="1" t="s">
        <v>114</v>
      </c>
      <c r="K37">
        <v>0</v>
      </c>
      <c r="L37" s="24"/>
      <c r="M37" s="24"/>
      <c r="N37" s="24"/>
      <c r="O37" s="16" t="s">
        <v>404</v>
      </c>
      <c r="P37" s="15"/>
      <c r="Q37" s="1" t="s">
        <v>404</v>
      </c>
      <c r="R37" s="1" t="s">
        <v>404</v>
      </c>
      <c r="S37" s="1" t="s">
        <v>404</v>
      </c>
    </row>
    <row r="38" spans="1:19" x14ac:dyDescent="0.25">
      <c r="A38" s="1" t="s">
        <v>29</v>
      </c>
      <c r="B38" s="1" t="s">
        <v>186</v>
      </c>
      <c r="C38" s="1" t="s">
        <v>185</v>
      </c>
      <c r="D38" s="1" t="s">
        <v>404</v>
      </c>
      <c r="E38">
        <v>1</v>
      </c>
      <c r="F38">
        <v>17059090</v>
      </c>
      <c r="G38">
        <v>5</v>
      </c>
      <c r="H38">
        <v>5</v>
      </c>
      <c r="I38" s="1" t="s">
        <v>114</v>
      </c>
      <c r="K38">
        <v>16</v>
      </c>
      <c r="L38" s="26" t="s">
        <v>449</v>
      </c>
      <c r="M38" s="26" t="s">
        <v>441</v>
      </c>
      <c r="N38" s="27" t="s">
        <v>450</v>
      </c>
      <c r="O38" s="16" t="s">
        <v>404</v>
      </c>
      <c r="P38" s="15"/>
      <c r="Q38" s="1" t="s">
        <v>404</v>
      </c>
      <c r="R38" s="1" t="s">
        <v>404</v>
      </c>
      <c r="S38" s="1" t="s">
        <v>404</v>
      </c>
    </row>
    <row r="39" spans="1:19" x14ac:dyDescent="0.25">
      <c r="A39" s="1" t="s">
        <v>30</v>
      </c>
      <c r="B39" s="1" t="s">
        <v>187</v>
      </c>
      <c r="C39" s="1" t="s">
        <v>185</v>
      </c>
      <c r="D39" s="1" t="s">
        <v>188</v>
      </c>
      <c r="E39">
        <v>1</v>
      </c>
      <c r="F39">
        <v>21069099</v>
      </c>
      <c r="G39">
        <v>5</v>
      </c>
      <c r="H39">
        <v>5</v>
      </c>
      <c r="I39" s="1" t="s">
        <v>114</v>
      </c>
      <c r="J39">
        <v>18</v>
      </c>
      <c r="K39">
        <v>18</v>
      </c>
      <c r="L39" s="26" t="s">
        <v>449</v>
      </c>
      <c r="M39" s="26" t="s">
        <v>441</v>
      </c>
      <c r="N39" s="26" t="s">
        <v>450</v>
      </c>
      <c r="O39" s="16" t="s">
        <v>404</v>
      </c>
      <c r="P39" s="15"/>
      <c r="Q39" s="1" t="s">
        <v>114</v>
      </c>
      <c r="R39" s="1" t="s">
        <v>114</v>
      </c>
      <c r="S39" s="1" t="s">
        <v>404</v>
      </c>
    </row>
    <row r="40" spans="1:19" x14ac:dyDescent="0.25">
      <c r="A40" t="s">
        <v>451</v>
      </c>
      <c r="B40" s="15" t="s">
        <v>439</v>
      </c>
      <c r="C40" t="s">
        <v>113</v>
      </c>
      <c r="D40" t="s">
        <v>223</v>
      </c>
      <c r="E40" s="18">
        <v>1</v>
      </c>
      <c r="F40" s="18"/>
      <c r="G40" s="3"/>
      <c r="H40" s="3"/>
      <c r="I40" s="1" t="s">
        <v>404</v>
      </c>
      <c r="J40" s="18">
        <v>60</v>
      </c>
      <c r="K40">
        <v>60</v>
      </c>
      <c r="L40" s="26" t="s">
        <v>440</v>
      </c>
      <c r="M40" s="26" t="s">
        <v>447</v>
      </c>
      <c r="N40" s="26" t="s">
        <v>452</v>
      </c>
      <c r="O40" s="16" t="s">
        <v>404</v>
      </c>
      <c r="P40" s="19"/>
      <c r="Q40" s="1" t="s">
        <v>404</v>
      </c>
      <c r="R40" s="1" t="s">
        <v>404</v>
      </c>
      <c r="S40" s="1" t="s">
        <v>404</v>
      </c>
    </row>
    <row r="41" spans="1:19" x14ac:dyDescent="0.25">
      <c r="A41" s="1" t="s">
        <v>189</v>
      </c>
      <c r="B41" s="1" t="s">
        <v>190</v>
      </c>
      <c r="C41" t="s">
        <v>113</v>
      </c>
      <c r="D41" t="s">
        <v>223</v>
      </c>
      <c r="E41">
        <v>1</v>
      </c>
      <c r="G41" s="3"/>
      <c r="H41" s="3"/>
      <c r="I41" s="1" t="s">
        <v>404</v>
      </c>
      <c r="J41">
        <v>50</v>
      </c>
      <c r="K41">
        <v>50</v>
      </c>
      <c r="L41" s="26" t="s">
        <v>443</v>
      </c>
      <c r="M41" s="26" t="s">
        <v>453</v>
      </c>
      <c r="N41" s="26" t="s">
        <v>454</v>
      </c>
      <c r="O41" s="16" t="s">
        <v>404</v>
      </c>
      <c r="P41" s="15"/>
      <c r="Q41" s="1" t="s">
        <v>404</v>
      </c>
      <c r="R41" s="1" t="s">
        <v>404</v>
      </c>
      <c r="S41" s="1" t="s">
        <v>404</v>
      </c>
    </row>
    <row r="42" spans="1:19" x14ac:dyDescent="0.25">
      <c r="A42" s="1" t="s">
        <v>31</v>
      </c>
      <c r="B42" s="1" t="s">
        <v>191</v>
      </c>
      <c r="C42" s="1" t="s">
        <v>192</v>
      </c>
      <c r="D42" s="1" t="s">
        <v>404</v>
      </c>
      <c r="E42">
        <v>40</v>
      </c>
      <c r="F42">
        <v>17049030</v>
      </c>
      <c r="G42">
        <v>450</v>
      </c>
      <c r="H42">
        <v>11.25</v>
      </c>
      <c r="I42" s="1" t="s">
        <v>114</v>
      </c>
      <c r="J42">
        <v>750</v>
      </c>
      <c r="K42">
        <v>9</v>
      </c>
      <c r="L42" s="24">
        <v>80</v>
      </c>
      <c r="M42" s="24">
        <v>25</v>
      </c>
      <c r="N42" s="24">
        <v>15</v>
      </c>
      <c r="O42" s="16" t="s">
        <v>404</v>
      </c>
      <c r="P42" s="15"/>
      <c r="Q42" s="1" t="s">
        <v>404</v>
      </c>
      <c r="R42" s="1" t="s">
        <v>404</v>
      </c>
      <c r="S42" s="1" t="s">
        <v>404</v>
      </c>
    </row>
    <row r="43" spans="1:19" x14ac:dyDescent="0.25">
      <c r="A43" s="1" t="s">
        <v>32</v>
      </c>
      <c r="B43" s="1" t="s">
        <v>193</v>
      </c>
      <c r="C43" s="1" t="s">
        <v>404</v>
      </c>
      <c r="D43" s="1" t="s">
        <v>404</v>
      </c>
      <c r="E43">
        <v>40</v>
      </c>
      <c r="F43">
        <v>18069010</v>
      </c>
      <c r="G43">
        <v>400</v>
      </c>
      <c r="H43">
        <v>10</v>
      </c>
      <c r="I43" s="1" t="s">
        <v>114</v>
      </c>
      <c r="J43">
        <v>140</v>
      </c>
      <c r="K43">
        <v>4</v>
      </c>
      <c r="L43" s="24"/>
      <c r="M43" s="24"/>
      <c r="N43" s="24"/>
      <c r="O43" s="16" t="s">
        <v>404</v>
      </c>
      <c r="P43" s="15"/>
      <c r="Q43" s="1" t="s">
        <v>404</v>
      </c>
      <c r="R43" s="1" t="s">
        <v>404</v>
      </c>
      <c r="S43" s="1" t="s">
        <v>404</v>
      </c>
    </row>
    <row r="44" spans="1:19" x14ac:dyDescent="0.25">
      <c r="A44" s="1" t="s">
        <v>194</v>
      </c>
      <c r="B44" s="1" t="s">
        <v>195</v>
      </c>
      <c r="C44" s="1" t="s">
        <v>196</v>
      </c>
      <c r="D44" s="1" t="s">
        <v>119</v>
      </c>
      <c r="I44" s="1" t="s">
        <v>404</v>
      </c>
      <c r="J44">
        <v>320</v>
      </c>
      <c r="L44" s="24"/>
      <c r="M44" s="24"/>
      <c r="N44" s="24"/>
      <c r="O44" s="16" t="s">
        <v>404</v>
      </c>
      <c r="P44" s="15"/>
      <c r="Q44" s="1" t="s">
        <v>114</v>
      </c>
      <c r="R44" s="1" t="s">
        <v>126</v>
      </c>
      <c r="S44" s="1" t="s">
        <v>404</v>
      </c>
    </row>
    <row r="45" spans="1:19" x14ac:dyDescent="0.25">
      <c r="A45" s="1" t="s">
        <v>33</v>
      </c>
      <c r="B45" s="1" t="s">
        <v>197</v>
      </c>
      <c r="C45" s="1" t="s">
        <v>198</v>
      </c>
      <c r="D45" s="1" t="s">
        <v>199</v>
      </c>
      <c r="E45">
        <v>120</v>
      </c>
      <c r="F45">
        <v>17049020</v>
      </c>
      <c r="G45">
        <v>120</v>
      </c>
      <c r="H45">
        <v>1</v>
      </c>
      <c r="I45" s="1" t="s">
        <v>114</v>
      </c>
      <c r="J45">
        <v>660</v>
      </c>
      <c r="K45">
        <v>6</v>
      </c>
      <c r="L45" s="24"/>
      <c r="M45" s="24"/>
      <c r="N45" s="24"/>
      <c r="O45" s="16" t="s">
        <v>404</v>
      </c>
      <c r="P45" s="15"/>
      <c r="Q45" s="1" t="s">
        <v>404</v>
      </c>
      <c r="R45" s="1" t="s">
        <v>404</v>
      </c>
      <c r="S45" s="1" t="s">
        <v>404</v>
      </c>
    </row>
    <row r="46" spans="1:19" x14ac:dyDescent="0.25">
      <c r="A46" s="1" t="s">
        <v>200</v>
      </c>
      <c r="B46" s="1" t="s">
        <v>201</v>
      </c>
      <c r="C46" s="1" t="s">
        <v>202</v>
      </c>
      <c r="D46" s="1" t="s">
        <v>404</v>
      </c>
      <c r="I46" s="1" t="s">
        <v>404</v>
      </c>
      <c r="L46" s="24"/>
      <c r="M46" s="24"/>
      <c r="N46" s="24"/>
      <c r="O46" s="16" t="s">
        <v>404</v>
      </c>
      <c r="P46" s="15"/>
      <c r="Q46" s="1" t="s">
        <v>404</v>
      </c>
      <c r="R46" s="1" t="s">
        <v>404</v>
      </c>
      <c r="S46" s="1" t="s">
        <v>404</v>
      </c>
    </row>
    <row r="47" spans="1:19" x14ac:dyDescent="0.25">
      <c r="A47" s="1" t="s">
        <v>203</v>
      </c>
      <c r="B47" s="1" t="s">
        <v>204</v>
      </c>
      <c r="C47" s="1" t="s">
        <v>404</v>
      </c>
      <c r="D47" s="1" t="s">
        <v>404</v>
      </c>
      <c r="I47" s="1" t="s">
        <v>404</v>
      </c>
      <c r="K47">
        <v>12</v>
      </c>
      <c r="L47" s="26" t="s">
        <v>455</v>
      </c>
      <c r="M47" s="26" t="s">
        <v>456</v>
      </c>
      <c r="N47" s="26" t="s">
        <v>457</v>
      </c>
      <c r="O47" s="16" t="s">
        <v>404</v>
      </c>
      <c r="P47" s="15"/>
      <c r="Q47" s="1" t="s">
        <v>404</v>
      </c>
      <c r="R47" s="1" t="s">
        <v>404</v>
      </c>
      <c r="S47" s="1" t="s">
        <v>404</v>
      </c>
    </row>
    <row r="48" spans="1:19" x14ac:dyDescent="0.25">
      <c r="A48" s="1" t="s">
        <v>205</v>
      </c>
      <c r="B48" s="1" t="s">
        <v>206</v>
      </c>
      <c r="C48" s="1" t="s">
        <v>207</v>
      </c>
      <c r="D48" s="1" t="s">
        <v>404</v>
      </c>
      <c r="E48">
        <v>40</v>
      </c>
      <c r="G48">
        <v>240</v>
      </c>
      <c r="I48" s="1" t="s">
        <v>114</v>
      </c>
      <c r="J48">
        <v>180</v>
      </c>
      <c r="L48" s="24">
        <v>20</v>
      </c>
      <c r="M48" s="24">
        <v>8</v>
      </c>
      <c r="N48" s="24">
        <v>8</v>
      </c>
      <c r="O48" s="16" t="s">
        <v>404</v>
      </c>
      <c r="P48" s="15"/>
      <c r="Q48" s="1" t="s">
        <v>404</v>
      </c>
      <c r="R48" s="1" t="s">
        <v>404</v>
      </c>
      <c r="S48" s="1" t="s">
        <v>404</v>
      </c>
    </row>
    <row r="49" spans="1:19" x14ac:dyDescent="0.25">
      <c r="A49" s="1" t="s">
        <v>208</v>
      </c>
      <c r="B49" s="1" t="s">
        <v>209</v>
      </c>
      <c r="C49" s="1" t="s">
        <v>210</v>
      </c>
      <c r="D49" s="1" t="s">
        <v>404</v>
      </c>
      <c r="I49" s="1" t="s">
        <v>404</v>
      </c>
      <c r="L49" s="24"/>
      <c r="M49" s="24"/>
      <c r="N49" s="24"/>
      <c r="O49" s="16" t="s">
        <v>404</v>
      </c>
      <c r="P49" s="15"/>
      <c r="Q49" s="1" t="s">
        <v>404</v>
      </c>
      <c r="R49" s="1" t="s">
        <v>404</v>
      </c>
      <c r="S49" s="1" t="s">
        <v>404</v>
      </c>
    </row>
    <row r="50" spans="1:19" x14ac:dyDescent="0.25">
      <c r="A50" s="1" t="s">
        <v>211</v>
      </c>
      <c r="B50" s="1" t="s">
        <v>212</v>
      </c>
      <c r="C50" s="1" t="s">
        <v>210</v>
      </c>
      <c r="D50" s="1" t="s">
        <v>404</v>
      </c>
      <c r="I50" s="1" t="s">
        <v>404</v>
      </c>
      <c r="L50" s="24"/>
      <c r="M50" s="24"/>
      <c r="N50" s="24"/>
      <c r="O50" s="16" t="s">
        <v>404</v>
      </c>
      <c r="P50" s="15"/>
      <c r="Q50" s="1" t="s">
        <v>404</v>
      </c>
      <c r="R50" s="1" t="s">
        <v>404</v>
      </c>
      <c r="S50" s="1" t="s">
        <v>404</v>
      </c>
    </row>
    <row r="51" spans="1:19" x14ac:dyDescent="0.25">
      <c r="A51" s="1" t="s">
        <v>213</v>
      </c>
      <c r="B51" s="1" t="s">
        <v>214</v>
      </c>
      <c r="C51" s="1" t="s">
        <v>210</v>
      </c>
      <c r="D51" s="1" t="s">
        <v>404</v>
      </c>
      <c r="I51" s="1" t="s">
        <v>404</v>
      </c>
      <c r="L51" s="24"/>
      <c r="M51" s="24"/>
      <c r="N51" s="24"/>
      <c r="O51" s="16" t="s">
        <v>404</v>
      </c>
      <c r="P51" s="15"/>
      <c r="Q51" s="1" t="s">
        <v>404</v>
      </c>
      <c r="R51" s="1" t="s">
        <v>404</v>
      </c>
      <c r="S51" s="1" t="s">
        <v>404</v>
      </c>
    </row>
    <row r="52" spans="1:19" x14ac:dyDescent="0.25">
      <c r="A52" s="1" t="s">
        <v>34</v>
      </c>
      <c r="B52" s="1" t="s">
        <v>215</v>
      </c>
      <c r="C52" s="1" t="s">
        <v>216</v>
      </c>
      <c r="D52" s="1" t="s">
        <v>217</v>
      </c>
      <c r="E52">
        <v>40</v>
      </c>
      <c r="F52">
        <v>17049090</v>
      </c>
      <c r="G52">
        <v>700</v>
      </c>
      <c r="H52">
        <v>17.5</v>
      </c>
      <c r="I52" s="1" t="s">
        <v>114</v>
      </c>
      <c r="J52">
        <v>220</v>
      </c>
      <c r="K52">
        <v>6</v>
      </c>
      <c r="L52" s="24"/>
      <c r="M52" s="24"/>
      <c r="N52" s="24"/>
      <c r="O52" s="16" t="s">
        <v>404</v>
      </c>
      <c r="P52" s="15"/>
      <c r="Q52" s="1" t="s">
        <v>114</v>
      </c>
      <c r="R52" s="1" t="s">
        <v>114</v>
      </c>
      <c r="S52" s="1" t="s">
        <v>404</v>
      </c>
    </row>
    <row r="53" spans="1:19" x14ac:dyDescent="0.25">
      <c r="A53" s="1" t="s">
        <v>35</v>
      </c>
      <c r="B53" s="1" t="s">
        <v>218</v>
      </c>
      <c r="C53" s="1" t="s">
        <v>216</v>
      </c>
      <c r="D53" s="1" t="s">
        <v>217</v>
      </c>
      <c r="E53">
        <v>40</v>
      </c>
      <c r="F53">
        <v>17049090</v>
      </c>
      <c r="G53">
        <v>700</v>
      </c>
      <c r="H53">
        <v>17.5</v>
      </c>
      <c r="I53" s="1" t="s">
        <v>114</v>
      </c>
      <c r="J53">
        <v>220</v>
      </c>
      <c r="K53">
        <v>6</v>
      </c>
      <c r="L53" s="24"/>
      <c r="M53" s="24"/>
      <c r="N53" s="24"/>
      <c r="O53" s="16" t="s">
        <v>412</v>
      </c>
      <c r="P53" s="15"/>
      <c r="Q53" s="1" t="s">
        <v>114</v>
      </c>
      <c r="R53" s="1" t="s">
        <v>114</v>
      </c>
      <c r="S53" s="1" t="s">
        <v>404</v>
      </c>
    </row>
    <row r="54" spans="1:19" x14ac:dyDescent="0.25">
      <c r="A54" s="1" t="s">
        <v>36</v>
      </c>
      <c r="B54" s="1" t="s">
        <v>219</v>
      </c>
      <c r="C54" s="1" t="s">
        <v>216</v>
      </c>
      <c r="D54" s="1" t="s">
        <v>217</v>
      </c>
      <c r="E54">
        <v>40</v>
      </c>
      <c r="F54">
        <v>17049090</v>
      </c>
      <c r="G54">
        <v>700</v>
      </c>
      <c r="H54">
        <v>17.5</v>
      </c>
      <c r="I54" s="1" t="s">
        <v>114</v>
      </c>
      <c r="J54">
        <v>220</v>
      </c>
      <c r="K54">
        <v>6</v>
      </c>
      <c r="L54" s="24"/>
      <c r="M54" s="24"/>
      <c r="N54" s="24"/>
      <c r="O54" s="16" t="s">
        <v>404</v>
      </c>
      <c r="P54" s="15"/>
      <c r="Q54" s="1" t="s">
        <v>114</v>
      </c>
      <c r="R54" s="1" t="s">
        <v>114</v>
      </c>
      <c r="S54" s="1" t="s">
        <v>404</v>
      </c>
    </row>
    <row r="55" spans="1:19" x14ac:dyDescent="0.25">
      <c r="A55" s="1" t="s">
        <v>220</v>
      </c>
      <c r="B55" s="1" t="s">
        <v>221</v>
      </c>
      <c r="C55" s="1" t="s">
        <v>216</v>
      </c>
      <c r="D55" s="1" t="s">
        <v>217</v>
      </c>
      <c r="E55">
        <v>40</v>
      </c>
      <c r="F55">
        <v>17049090</v>
      </c>
      <c r="G55">
        <v>700</v>
      </c>
      <c r="H55">
        <v>17.5</v>
      </c>
      <c r="I55" s="1" t="s">
        <v>114</v>
      </c>
      <c r="J55">
        <v>220</v>
      </c>
      <c r="K55">
        <v>6</v>
      </c>
      <c r="L55" s="24"/>
      <c r="M55" s="24"/>
      <c r="N55" s="24"/>
      <c r="O55" s="16" t="s">
        <v>404</v>
      </c>
      <c r="P55" s="15"/>
      <c r="Q55" s="1" t="s">
        <v>114</v>
      </c>
      <c r="R55" s="1" t="s">
        <v>114</v>
      </c>
      <c r="S55" s="1" t="s">
        <v>404</v>
      </c>
    </row>
    <row r="56" spans="1:19" x14ac:dyDescent="0.25">
      <c r="A56" s="1" t="s">
        <v>37</v>
      </c>
      <c r="B56" s="1" t="s">
        <v>222</v>
      </c>
      <c r="C56" s="1" t="s">
        <v>113</v>
      </c>
      <c r="D56" s="1" t="s">
        <v>223</v>
      </c>
      <c r="E56">
        <v>1</v>
      </c>
      <c r="F56">
        <v>18069010</v>
      </c>
      <c r="G56">
        <v>5</v>
      </c>
      <c r="H56">
        <v>5</v>
      </c>
      <c r="I56" s="1" t="s">
        <v>114</v>
      </c>
      <c r="K56">
        <v>0</v>
      </c>
      <c r="L56" s="24"/>
      <c r="M56" s="24"/>
      <c r="N56" s="24"/>
      <c r="O56" s="16" t="s">
        <v>404</v>
      </c>
      <c r="P56" s="15">
        <v>7622200000000</v>
      </c>
      <c r="Q56" s="1" t="s">
        <v>404</v>
      </c>
      <c r="R56" s="1" t="s">
        <v>404</v>
      </c>
      <c r="S56" s="1" t="s">
        <v>404</v>
      </c>
    </row>
    <row r="57" spans="1:19" x14ac:dyDescent="0.25">
      <c r="A57" s="1" t="s">
        <v>224</v>
      </c>
      <c r="B57" s="1" t="s">
        <v>225</v>
      </c>
      <c r="C57" s="1" t="s">
        <v>404</v>
      </c>
      <c r="D57" s="1" t="s">
        <v>404</v>
      </c>
      <c r="I57" s="1" t="s">
        <v>404</v>
      </c>
      <c r="L57" s="24"/>
      <c r="M57" s="24"/>
      <c r="N57" s="24"/>
      <c r="O57" s="16" t="s">
        <v>404</v>
      </c>
      <c r="P57" s="15"/>
      <c r="Q57" s="1" t="s">
        <v>404</v>
      </c>
      <c r="R57" s="1" t="s">
        <v>404</v>
      </c>
      <c r="S57" s="1" t="s">
        <v>404</v>
      </c>
    </row>
    <row r="58" spans="1:19" x14ac:dyDescent="0.25">
      <c r="A58" s="1" t="s">
        <v>38</v>
      </c>
      <c r="B58" s="1" t="s">
        <v>226</v>
      </c>
      <c r="C58" s="1" t="s">
        <v>227</v>
      </c>
      <c r="D58" s="1" t="s">
        <v>404</v>
      </c>
      <c r="I58" s="1" t="s">
        <v>404</v>
      </c>
      <c r="L58" s="26" t="s">
        <v>456</v>
      </c>
      <c r="M58" s="26" t="s">
        <v>458</v>
      </c>
      <c r="N58" s="26" t="s">
        <v>448</v>
      </c>
      <c r="O58" s="16" t="s">
        <v>404</v>
      </c>
      <c r="P58" s="15"/>
      <c r="Q58" s="1" t="s">
        <v>404</v>
      </c>
      <c r="R58" s="1" t="s">
        <v>404</v>
      </c>
      <c r="S58" s="1" t="s">
        <v>404</v>
      </c>
    </row>
    <row r="59" spans="1:19" x14ac:dyDescent="0.25">
      <c r="A59" s="1" t="s">
        <v>228</v>
      </c>
      <c r="B59" s="1" t="s">
        <v>229</v>
      </c>
      <c r="C59" s="1" t="s">
        <v>230</v>
      </c>
      <c r="D59" s="1" t="s">
        <v>404</v>
      </c>
      <c r="I59" s="1" t="s">
        <v>404</v>
      </c>
      <c r="K59">
        <v>2.2000000000000002</v>
      </c>
      <c r="L59" s="26" t="s">
        <v>442</v>
      </c>
      <c r="M59" s="26" t="s">
        <v>459</v>
      </c>
      <c r="N59" s="26" t="s">
        <v>460</v>
      </c>
      <c r="O59" s="16" t="s">
        <v>404</v>
      </c>
      <c r="P59" s="15"/>
      <c r="Q59" s="1" t="s">
        <v>404</v>
      </c>
      <c r="R59" s="1" t="s">
        <v>404</v>
      </c>
      <c r="S59" s="1" t="s">
        <v>404</v>
      </c>
    </row>
    <row r="60" spans="1:19" x14ac:dyDescent="0.25">
      <c r="A60" s="1" t="s">
        <v>231</v>
      </c>
      <c r="B60" s="1" t="s">
        <v>232</v>
      </c>
      <c r="C60" s="1" t="s">
        <v>230</v>
      </c>
      <c r="D60" s="1" t="s">
        <v>404</v>
      </c>
      <c r="I60" s="1" t="s">
        <v>404</v>
      </c>
      <c r="K60">
        <v>2.2000000000000002</v>
      </c>
      <c r="L60" s="26" t="s">
        <v>442</v>
      </c>
      <c r="M60" s="26" t="s">
        <v>459</v>
      </c>
      <c r="N60" s="26" t="s">
        <v>460</v>
      </c>
      <c r="O60" s="16" t="s">
        <v>404</v>
      </c>
      <c r="P60" s="15"/>
      <c r="Q60" s="1" t="s">
        <v>404</v>
      </c>
      <c r="R60" s="1" t="s">
        <v>404</v>
      </c>
      <c r="S60" s="1" t="s">
        <v>404</v>
      </c>
    </row>
    <row r="61" spans="1:19" x14ac:dyDescent="0.25">
      <c r="A61" s="1" t="s">
        <v>233</v>
      </c>
      <c r="B61" s="1" t="s">
        <v>234</v>
      </c>
      <c r="C61" s="1" t="s">
        <v>230</v>
      </c>
      <c r="D61" s="1" t="s">
        <v>404</v>
      </c>
      <c r="I61" s="1" t="s">
        <v>404</v>
      </c>
      <c r="K61">
        <v>2.2000000000000002</v>
      </c>
      <c r="L61" s="26" t="s">
        <v>442</v>
      </c>
      <c r="M61" s="26" t="s">
        <v>459</v>
      </c>
      <c r="N61" s="26" t="s">
        <v>460</v>
      </c>
      <c r="O61" s="16" t="s">
        <v>404</v>
      </c>
      <c r="P61" s="15"/>
      <c r="Q61" s="1" t="s">
        <v>404</v>
      </c>
      <c r="R61" s="1" t="s">
        <v>404</v>
      </c>
      <c r="S61" s="1" t="s">
        <v>404</v>
      </c>
    </row>
    <row r="62" spans="1:19" x14ac:dyDescent="0.25">
      <c r="A62" s="1" t="s">
        <v>235</v>
      </c>
      <c r="B62" s="1" t="s">
        <v>236</v>
      </c>
      <c r="C62" s="1" t="s">
        <v>230</v>
      </c>
      <c r="D62" s="1" t="s">
        <v>404</v>
      </c>
      <c r="I62" s="1" t="s">
        <v>404</v>
      </c>
      <c r="K62">
        <v>2.2000000000000002</v>
      </c>
      <c r="L62" s="26" t="s">
        <v>442</v>
      </c>
      <c r="M62" s="26" t="s">
        <v>459</v>
      </c>
      <c r="N62" s="26" t="s">
        <v>460</v>
      </c>
      <c r="O62" s="16" t="s">
        <v>404</v>
      </c>
      <c r="P62" s="15"/>
      <c r="Q62" s="1" t="s">
        <v>404</v>
      </c>
      <c r="R62" s="1" t="s">
        <v>404</v>
      </c>
      <c r="S62" s="1" t="s">
        <v>404</v>
      </c>
    </row>
    <row r="63" spans="1:19" x14ac:dyDescent="0.25">
      <c r="A63" s="1" t="s">
        <v>237</v>
      </c>
      <c r="B63" s="1" t="s">
        <v>238</v>
      </c>
      <c r="C63" s="1" t="s">
        <v>230</v>
      </c>
      <c r="D63" s="1" t="s">
        <v>404</v>
      </c>
      <c r="I63" s="1" t="s">
        <v>404</v>
      </c>
      <c r="K63">
        <v>2.2000000000000002</v>
      </c>
      <c r="L63" s="26" t="s">
        <v>442</v>
      </c>
      <c r="M63" s="26" t="s">
        <v>459</v>
      </c>
      <c r="N63" s="26" t="s">
        <v>460</v>
      </c>
      <c r="O63" s="16" t="s">
        <v>404</v>
      </c>
      <c r="P63" s="15"/>
      <c r="Q63" s="1" t="s">
        <v>404</v>
      </c>
      <c r="R63" s="1" t="s">
        <v>404</v>
      </c>
      <c r="S63" s="1" t="s">
        <v>404</v>
      </c>
    </row>
    <row r="64" spans="1:19" x14ac:dyDescent="0.25">
      <c r="A64" s="1" t="s">
        <v>39</v>
      </c>
      <c r="B64" s="1" t="s">
        <v>239</v>
      </c>
      <c r="C64" s="1" t="s">
        <v>240</v>
      </c>
      <c r="D64" s="1" t="s">
        <v>241</v>
      </c>
      <c r="E64">
        <v>1</v>
      </c>
      <c r="F64">
        <v>19059090</v>
      </c>
      <c r="G64">
        <v>5</v>
      </c>
      <c r="H64">
        <v>5</v>
      </c>
      <c r="I64" s="1" t="s">
        <v>114</v>
      </c>
      <c r="K64">
        <v>0</v>
      </c>
      <c r="L64" s="26" t="s">
        <v>461</v>
      </c>
      <c r="M64" s="26" t="s">
        <v>443</v>
      </c>
      <c r="N64" s="26" t="s">
        <v>447</v>
      </c>
      <c r="O64" s="16" t="s">
        <v>404</v>
      </c>
      <c r="P64" s="15"/>
      <c r="Q64" s="1" t="s">
        <v>114</v>
      </c>
      <c r="R64" s="1" t="s">
        <v>114</v>
      </c>
      <c r="S64" s="1" t="s">
        <v>404</v>
      </c>
    </row>
    <row r="65" spans="1:19" x14ac:dyDescent="0.25">
      <c r="A65" s="1" t="s">
        <v>40</v>
      </c>
      <c r="B65" s="1" t="s">
        <v>242</v>
      </c>
      <c r="C65" s="1" t="s">
        <v>240</v>
      </c>
      <c r="D65" s="1" t="s">
        <v>241</v>
      </c>
      <c r="E65">
        <v>1</v>
      </c>
      <c r="F65">
        <v>19059090</v>
      </c>
      <c r="G65">
        <v>5</v>
      </c>
      <c r="H65">
        <v>5</v>
      </c>
      <c r="I65" s="1" t="s">
        <v>114</v>
      </c>
      <c r="K65">
        <v>0</v>
      </c>
      <c r="L65" s="26" t="s">
        <v>462</v>
      </c>
      <c r="M65" s="26" t="s">
        <v>441</v>
      </c>
      <c r="N65" s="26" t="s">
        <v>447</v>
      </c>
      <c r="O65" s="16" t="s">
        <v>404</v>
      </c>
      <c r="P65" s="15"/>
      <c r="Q65" s="1" t="s">
        <v>114</v>
      </c>
      <c r="R65" s="1" t="s">
        <v>114</v>
      </c>
      <c r="S65" s="1" t="s">
        <v>404</v>
      </c>
    </row>
    <row r="66" spans="1:19" x14ac:dyDescent="0.25">
      <c r="A66" s="1" t="s">
        <v>41</v>
      </c>
      <c r="B66" s="1" t="s">
        <v>243</v>
      </c>
      <c r="C66" s="1" t="s">
        <v>240</v>
      </c>
      <c r="D66" s="1" t="s">
        <v>241</v>
      </c>
      <c r="E66">
        <v>1</v>
      </c>
      <c r="F66">
        <v>19059090</v>
      </c>
      <c r="G66">
        <v>5</v>
      </c>
      <c r="H66">
        <v>5</v>
      </c>
      <c r="I66" s="1" t="s">
        <v>114</v>
      </c>
      <c r="K66">
        <v>0</v>
      </c>
      <c r="L66" s="26" t="s">
        <v>461</v>
      </c>
      <c r="M66" s="26" t="s">
        <v>443</v>
      </c>
      <c r="N66" s="26" t="s">
        <v>447</v>
      </c>
      <c r="O66" s="16" t="s">
        <v>404</v>
      </c>
      <c r="P66" s="15"/>
      <c r="Q66" s="1" t="s">
        <v>114</v>
      </c>
      <c r="R66" s="1" t="s">
        <v>114</v>
      </c>
      <c r="S66" s="1" t="s">
        <v>404</v>
      </c>
    </row>
    <row r="67" spans="1:19" x14ac:dyDescent="0.25">
      <c r="A67" s="1" t="s">
        <v>42</v>
      </c>
      <c r="B67" s="1" t="s">
        <v>244</v>
      </c>
      <c r="C67" s="1" t="s">
        <v>245</v>
      </c>
      <c r="D67" s="1" t="s">
        <v>404</v>
      </c>
      <c r="E67">
        <v>18</v>
      </c>
      <c r="F67">
        <v>17041000</v>
      </c>
      <c r="G67">
        <v>180</v>
      </c>
      <c r="H67">
        <v>10</v>
      </c>
      <c r="I67" s="1" t="s">
        <v>114</v>
      </c>
      <c r="J67">
        <v>265</v>
      </c>
      <c r="K67">
        <v>15</v>
      </c>
      <c r="L67" s="24"/>
      <c r="M67" s="24"/>
      <c r="N67" s="24"/>
      <c r="O67" s="16" t="s">
        <v>404</v>
      </c>
      <c r="P67" s="15"/>
      <c r="Q67" s="1" t="s">
        <v>114</v>
      </c>
      <c r="R67" s="1" t="s">
        <v>126</v>
      </c>
      <c r="S67" s="1" t="s">
        <v>404</v>
      </c>
    </row>
    <row r="68" spans="1:19" x14ac:dyDescent="0.25">
      <c r="A68" s="1" t="s">
        <v>43</v>
      </c>
      <c r="B68" s="1" t="s">
        <v>246</v>
      </c>
      <c r="C68" s="1" t="s">
        <v>245</v>
      </c>
      <c r="D68" s="1" t="s">
        <v>404</v>
      </c>
      <c r="E68">
        <v>18</v>
      </c>
      <c r="F68">
        <v>17041000</v>
      </c>
      <c r="G68">
        <v>180</v>
      </c>
      <c r="H68">
        <v>10</v>
      </c>
      <c r="I68" s="1" t="s">
        <v>114</v>
      </c>
      <c r="J68">
        <v>277</v>
      </c>
      <c r="K68">
        <v>15</v>
      </c>
      <c r="L68" s="24"/>
      <c r="M68" s="24"/>
      <c r="N68" s="24"/>
      <c r="O68" s="16" t="s">
        <v>413</v>
      </c>
      <c r="P68" s="15"/>
      <c r="Q68" s="1" t="s">
        <v>114</v>
      </c>
      <c r="R68" s="1" t="s">
        <v>126</v>
      </c>
      <c r="S68" s="1" t="s">
        <v>404</v>
      </c>
    </row>
    <row r="69" spans="1:19" x14ac:dyDescent="0.25">
      <c r="A69" s="1" t="s">
        <v>44</v>
      </c>
      <c r="B69" s="1" t="s">
        <v>247</v>
      </c>
      <c r="C69" s="1" t="s">
        <v>248</v>
      </c>
      <c r="D69" s="1" t="s">
        <v>249</v>
      </c>
      <c r="E69">
        <v>167</v>
      </c>
      <c r="F69">
        <v>17049090</v>
      </c>
      <c r="G69">
        <v>167</v>
      </c>
      <c r="H69">
        <v>1</v>
      </c>
      <c r="I69" s="1" t="s">
        <v>114</v>
      </c>
      <c r="J69">
        <v>668</v>
      </c>
      <c r="K69">
        <v>4</v>
      </c>
      <c r="L69" s="24"/>
      <c r="M69" s="24"/>
      <c r="N69" s="24"/>
      <c r="O69" s="16" t="s">
        <v>404</v>
      </c>
      <c r="P69" s="15"/>
      <c r="Q69" s="1" t="s">
        <v>114</v>
      </c>
      <c r="R69" s="1" t="s">
        <v>404</v>
      </c>
      <c r="S69" s="1" t="s">
        <v>404</v>
      </c>
    </row>
    <row r="70" spans="1:19" x14ac:dyDescent="0.25">
      <c r="A70" s="1" t="s">
        <v>45</v>
      </c>
      <c r="B70" s="1" t="s">
        <v>250</v>
      </c>
      <c r="C70" s="1" t="s">
        <v>248</v>
      </c>
      <c r="D70" s="1" t="s">
        <v>249</v>
      </c>
      <c r="E70">
        <v>167</v>
      </c>
      <c r="F70">
        <v>17049090</v>
      </c>
      <c r="G70">
        <v>167</v>
      </c>
      <c r="H70">
        <v>1</v>
      </c>
      <c r="I70" s="1" t="s">
        <v>114</v>
      </c>
      <c r="J70">
        <v>668</v>
      </c>
      <c r="K70">
        <v>4</v>
      </c>
      <c r="L70" s="24"/>
      <c r="M70" s="24"/>
      <c r="N70" s="24"/>
      <c r="O70" s="16" t="s">
        <v>404</v>
      </c>
      <c r="P70" s="15"/>
      <c r="Q70" s="1" t="s">
        <v>404</v>
      </c>
      <c r="R70" s="1" t="s">
        <v>404</v>
      </c>
      <c r="S70" s="1" t="s">
        <v>404</v>
      </c>
    </row>
    <row r="71" spans="1:19" x14ac:dyDescent="0.25">
      <c r="A71" s="1" t="s">
        <v>251</v>
      </c>
      <c r="B71" s="1" t="s">
        <v>252</v>
      </c>
      <c r="C71" s="1" t="s">
        <v>253</v>
      </c>
      <c r="D71" s="1" t="s">
        <v>254</v>
      </c>
      <c r="E71">
        <v>50</v>
      </c>
      <c r="H71">
        <v>0</v>
      </c>
      <c r="I71" s="1" t="s">
        <v>404</v>
      </c>
      <c r="J71">
        <v>750</v>
      </c>
      <c r="K71">
        <v>15</v>
      </c>
      <c r="L71" s="24"/>
      <c r="M71" s="24"/>
      <c r="N71" s="24"/>
      <c r="O71" s="16" t="s">
        <v>404</v>
      </c>
      <c r="P71" s="15"/>
      <c r="Q71" s="1" t="s">
        <v>114</v>
      </c>
      <c r="R71" s="1" t="s">
        <v>126</v>
      </c>
      <c r="S71" s="1" t="s">
        <v>404</v>
      </c>
    </row>
    <row r="72" spans="1:19" x14ac:dyDescent="0.25">
      <c r="A72" s="1" t="s">
        <v>46</v>
      </c>
      <c r="B72" s="1" t="s">
        <v>255</v>
      </c>
      <c r="C72" s="1" t="s">
        <v>404</v>
      </c>
      <c r="D72" s="1" t="s">
        <v>404</v>
      </c>
      <c r="E72">
        <v>100</v>
      </c>
      <c r="F72">
        <v>21069070</v>
      </c>
      <c r="G72">
        <v>300</v>
      </c>
      <c r="H72">
        <v>3</v>
      </c>
      <c r="I72" s="1" t="s">
        <v>114</v>
      </c>
      <c r="K72">
        <v>0</v>
      </c>
      <c r="L72" s="24"/>
      <c r="M72" s="24"/>
      <c r="N72" s="24"/>
      <c r="O72" s="16" t="s">
        <v>404</v>
      </c>
      <c r="P72" s="15"/>
      <c r="Q72" s="1" t="s">
        <v>404</v>
      </c>
      <c r="R72" s="1" t="s">
        <v>404</v>
      </c>
      <c r="S72" s="1" t="s">
        <v>404</v>
      </c>
    </row>
    <row r="73" spans="1:19" x14ac:dyDescent="0.25">
      <c r="A73" s="1" t="s">
        <v>256</v>
      </c>
      <c r="B73" s="1" t="s">
        <v>257</v>
      </c>
      <c r="C73" s="1" t="s">
        <v>404</v>
      </c>
      <c r="D73" s="1" t="s">
        <v>404</v>
      </c>
      <c r="G73">
        <v>300</v>
      </c>
      <c r="I73" s="1" t="s">
        <v>404</v>
      </c>
      <c r="L73" s="24"/>
      <c r="M73" s="24"/>
      <c r="N73" s="24"/>
      <c r="O73" s="16" t="s">
        <v>404</v>
      </c>
      <c r="P73" s="15"/>
      <c r="Q73" s="1" t="s">
        <v>404</v>
      </c>
      <c r="R73" s="1" t="s">
        <v>404</v>
      </c>
      <c r="S73" s="1" t="s">
        <v>404</v>
      </c>
    </row>
    <row r="74" spans="1:19" x14ac:dyDescent="0.25">
      <c r="A74" s="1" t="s">
        <v>258</v>
      </c>
      <c r="B74" s="1" t="s">
        <v>259</v>
      </c>
      <c r="C74" s="1" t="s">
        <v>404</v>
      </c>
      <c r="D74" s="1" t="s">
        <v>404</v>
      </c>
      <c r="I74" s="1" t="s">
        <v>404</v>
      </c>
      <c r="K74">
        <v>9</v>
      </c>
      <c r="L74" s="24">
        <v>40</v>
      </c>
      <c r="M74" s="24">
        <v>80</v>
      </c>
      <c r="N74" s="24">
        <v>12</v>
      </c>
      <c r="O74" s="16" t="s">
        <v>404</v>
      </c>
      <c r="P74" s="15"/>
      <c r="Q74" s="1" t="s">
        <v>404</v>
      </c>
      <c r="R74" s="1" t="s">
        <v>404</v>
      </c>
      <c r="S74" s="1" t="s">
        <v>404</v>
      </c>
    </row>
    <row r="75" spans="1:19" x14ac:dyDescent="0.25">
      <c r="A75" s="1" t="s">
        <v>260</v>
      </c>
      <c r="B75" s="1" t="s">
        <v>261</v>
      </c>
      <c r="C75" s="1" t="s">
        <v>404</v>
      </c>
      <c r="D75" s="1" t="s">
        <v>404</v>
      </c>
      <c r="I75" s="1" t="s">
        <v>404</v>
      </c>
      <c r="L75" s="24"/>
      <c r="M75" s="24"/>
      <c r="N75" s="24"/>
      <c r="O75" s="16" t="s">
        <v>404</v>
      </c>
      <c r="P75" s="15"/>
      <c r="Q75" s="1" t="s">
        <v>404</v>
      </c>
      <c r="R75" s="1" t="s">
        <v>404</v>
      </c>
      <c r="S75" s="1" t="s">
        <v>404</v>
      </c>
    </row>
    <row r="76" spans="1:19" x14ac:dyDescent="0.25">
      <c r="A76" s="1" t="s">
        <v>47</v>
      </c>
      <c r="B76" s="1" t="s">
        <v>262</v>
      </c>
      <c r="C76" s="1" t="s">
        <v>131</v>
      </c>
      <c r="D76" s="1" t="s">
        <v>132</v>
      </c>
      <c r="E76">
        <v>1</v>
      </c>
      <c r="F76">
        <v>20089999</v>
      </c>
      <c r="G76">
        <v>30</v>
      </c>
      <c r="H76">
        <v>30</v>
      </c>
      <c r="I76" s="1" t="s">
        <v>114</v>
      </c>
      <c r="J76">
        <v>100</v>
      </c>
      <c r="K76">
        <v>100</v>
      </c>
      <c r="L76" s="24"/>
      <c r="M76" s="24"/>
      <c r="N76" s="24"/>
      <c r="O76" s="16" t="s">
        <v>407</v>
      </c>
      <c r="P76" s="15"/>
      <c r="Q76" s="1" t="s">
        <v>114</v>
      </c>
      <c r="R76" s="1" t="s">
        <v>114</v>
      </c>
      <c r="S76" s="1" t="s">
        <v>404</v>
      </c>
    </row>
    <row r="77" spans="1:19" x14ac:dyDescent="0.25">
      <c r="A77" s="1" t="s">
        <v>263</v>
      </c>
      <c r="B77" s="1" t="s">
        <v>264</v>
      </c>
      <c r="C77" s="1" t="s">
        <v>265</v>
      </c>
      <c r="D77" s="1" t="s">
        <v>266</v>
      </c>
      <c r="E77">
        <v>30</v>
      </c>
      <c r="F77">
        <v>21069040</v>
      </c>
      <c r="H77">
        <v>0</v>
      </c>
      <c r="I77" s="1" t="s">
        <v>114</v>
      </c>
      <c r="J77">
        <v>150</v>
      </c>
      <c r="K77">
        <v>5</v>
      </c>
      <c r="L77" s="24">
        <v>65</v>
      </c>
      <c r="M77" s="24">
        <v>65</v>
      </c>
      <c r="N77" s="24">
        <v>4</v>
      </c>
      <c r="O77" s="16" t="s">
        <v>414</v>
      </c>
      <c r="P77" s="15"/>
      <c r="Q77" s="1" t="s">
        <v>404</v>
      </c>
      <c r="R77" s="1" t="s">
        <v>404</v>
      </c>
      <c r="S77" s="1" t="s">
        <v>404</v>
      </c>
    </row>
    <row r="78" spans="1:19" x14ac:dyDescent="0.25">
      <c r="A78" s="1" t="s">
        <v>48</v>
      </c>
      <c r="B78" s="1" t="s">
        <v>267</v>
      </c>
      <c r="C78" s="1" t="s">
        <v>265</v>
      </c>
      <c r="D78" s="1" t="s">
        <v>266</v>
      </c>
      <c r="E78">
        <v>50</v>
      </c>
      <c r="F78">
        <v>21069040</v>
      </c>
      <c r="G78">
        <v>50</v>
      </c>
      <c r="H78">
        <v>1</v>
      </c>
      <c r="I78" s="1" t="s">
        <v>114</v>
      </c>
      <c r="J78">
        <v>100</v>
      </c>
      <c r="K78">
        <v>2</v>
      </c>
      <c r="L78" s="24"/>
      <c r="M78" s="24"/>
      <c r="N78" s="24"/>
      <c r="O78" s="16" t="s">
        <v>404</v>
      </c>
      <c r="P78" s="15"/>
      <c r="Q78" s="1" t="s">
        <v>126</v>
      </c>
      <c r="R78" s="1" t="s">
        <v>126</v>
      </c>
      <c r="S78" s="1" t="s">
        <v>404</v>
      </c>
    </row>
    <row r="79" spans="1:19" x14ac:dyDescent="0.25">
      <c r="A79" s="1" t="s">
        <v>49</v>
      </c>
      <c r="B79" s="1" t="s">
        <v>268</v>
      </c>
      <c r="C79" s="1" t="s">
        <v>265</v>
      </c>
      <c r="D79" s="1" t="s">
        <v>266</v>
      </c>
      <c r="E79">
        <v>20</v>
      </c>
      <c r="F79">
        <v>21069040</v>
      </c>
      <c r="G79">
        <v>60</v>
      </c>
      <c r="H79">
        <v>3</v>
      </c>
      <c r="I79" s="1" t="s">
        <v>114</v>
      </c>
      <c r="J79">
        <v>120</v>
      </c>
      <c r="K79">
        <v>6</v>
      </c>
      <c r="L79" s="24"/>
      <c r="M79" s="24"/>
      <c r="N79" s="24"/>
      <c r="O79" s="16" t="s">
        <v>404</v>
      </c>
      <c r="P79" s="15"/>
      <c r="Q79" s="1" t="s">
        <v>114</v>
      </c>
      <c r="R79" s="1" t="s">
        <v>126</v>
      </c>
      <c r="S79" s="1" t="s">
        <v>404</v>
      </c>
    </row>
    <row r="80" spans="1:19" x14ac:dyDescent="0.25">
      <c r="A80" s="1" t="s">
        <v>269</v>
      </c>
      <c r="B80" s="1" t="s">
        <v>270</v>
      </c>
      <c r="C80" s="1" t="s">
        <v>271</v>
      </c>
      <c r="D80" s="1" t="s">
        <v>272</v>
      </c>
      <c r="E80">
        <v>30</v>
      </c>
      <c r="H80">
        <v>0</v>
      </c>
      <c r="I80" s="1" t="s">
        <v>114</v>
      </c>
      <c r="K80">
        <v>0</v>
      </c>
      <c r="L80" s="26" t="s">
        <v>456</v>
      </c>
      <c r="M80" s="26" t="s">
        <v>463</v>
      </c>
      <c r="N80" s="26" t="s">
        <v>448</v>
      </c>
      <c r="O80" s="16" t="s">
        <v>415</v>
      </c>
      <c r="P80" s="15"/>
      <c r="Q80" s="1" t="s">
        <v>404</v>
      </c>
      <c r="R80" s="1" t="s">
        <v>404</v>
      </c>
      <c r="S80" s="1" t="s">
        <v>404</v>
      </c>
    </row>
    <row r="81" spans="1:19" x14ac:dyDescent="0.25">
      <c r="A81" s="1" t="s">
        <v>273</v>
      </c>
      <c r="B81" s="1" t="s">
        <v>274</v>
      </c>
      <c r="C81" s="1" t="s">
        <v>404</v>
      </c>
      <c r="D81" s="1" t="s">
        <v>404</v>
      </c>
      <c r="I81" s="1" t="s">
        <v>404</v>
      </c>
      <c r="L81" s="24"/>
      <c r="M81" s="24"/>
      <c r="N81" s="24"/>
      <c r="O81" s="16" t="s">
        <v>404</v>
      </c>
      <c r="P81" s="15"/>
      <c r="Q81" s="1" t="s">
        <v>404</v>
      </c>
      <c r="R81" s="1" t="s">
        <v>404</v>
      </c>
      <c r="S81" s="1" t="s">
        <v>404</v>
      </c>
    </row>
    <row r="82" spans="1:19" x14ac:dyDescent="0.25">
      <c r="A82" s="1" t="s">
        <v>275</v>
      </c>
      <c r="B82" s="1" t="s">
        <v>276</v>
      </c>
      <c r="C82" s="1" t="s">
        <v>277</v>
      </c>
      <c r="D82" s="1" t="s">
        <v>278</v>
      </c>
      <c r="E82">
        <v>50</v>
      </c>
      <c r="H82">
        <v>0</v>
      </c>
      <c r="I82" s="1" t="s">
        <v>114</v>
      </c>
      <c r="J82">
        <v>200</v>
      </c>
      <c r="K82">
        <v>4</v>
      </c>
      <c r="L82" s="24"/>
      <c r="M82" s="24"/>
      <c r="N82" s="24"/>
      <c r="O82" s="16" t="s">
        <v>416</v>
      </c>
      <c r="P82" s="15"/>
      <c r="Q82" s="1" t="s">
        <v>404</v>
      </c>
      <c r="R82" s="1" t="s">
        <v>404</v>
      </c>
      <c r="S82" s="1" t="s">
        <v>404</v>
      </c>
    </row>
    <row r="83" spans="1:19" x14ac:dyDescent="0.25">
      <c r="A83" s="1" t="s">
        <v>279</v>
      </c>
      <c r="B83" s="1" t="s">
        <v>280</v>
      </c>
      <c r="C83" s="1" t="s">
        <v>404</v>
      </c>
      <c r="D83" s="1" t="s">
        <v>404</v>
      </c>
      <c r="I83" s="1" t="s">
        <v>404</v>
      </c>
      <c r="L83" s="24"/>
      <c r="M83" s="24"/>
      <c r="N83" s="24"/>
      <c r="O83" s="16" t="s">
        <v>404</v>
      </c>
      <c r="P83" s="15"/>
      <c r="Q83" s="1" t="s">
        <v>404</v>
      </c>
      <c r="R83" s="1" t="s">
        <v>404</v>
      </c>
      <c r="S83" s="1" t="s">
        <v>404</v>
      </c>
    </row>
    <row r="84" spans="1:19" x14ac:dyDescent="0.25">
      <c r="A84" s="1" t="s">
        <v>50</v>
      </c>
      <c r="B84" s="1" t="s">
        <v>281</v>
      </c>
      <c r="C84" s="1" t="s">
        <v>404</v>
      </c>
      <c r="D84" s="1" t="s">
        <v>404</v>
      </c>
      <c r="E84">
        <v>150</v>
      </c>
      <c r="F84">
        <v>17049020</v>
      </c>
      <c r="G84">
        <v>150</v>
      </c>
      <c r="H84">
        <v>1</v>
      </c>
      <c r="I84" s="1" t="s">
        <v>114</v>
      </c>
      <c r="J84">
        <v>750</v>
      </c>
      <c r="K84">
        <v>5</v>
      </c>
      <c r="L84" s="24"/>
      <c r="M84" s="24"/>
      <c r="N84" s="24"/>
      <c r="O84" s="16" t="s">
        <v>404</v>
      </c>
      <c r="P84" s="15"/>
      <c r="Q84" s="1" t="s">
        <v>404</v>
      </c>
      <c r="R84" s="1" t="s">
        <v>404</v>
      </c>
      <c r="S84" s="1" t="s">
        <v>404</v>
      </c>
    </row>
    <row r="85" spans="1:19" x14ac:dyDescent="0.25">
      <c r="A85" s="1" t="s">
        <v>282</v>
      </c>
      <c r="B85" s="1" t="s">
        <v>283</v>
      </c>
      <c r="C85" s="1" t="s">
        <v>284</v>
      </c>
      <c r="D85" s="1" t="s">
        <v>284</v>
      </c>
      <c r="I85" s="1" t="s">
        <v>114</v>
      </c>
      <c r="L85" s="24"/>
      <c r="M85" s="24"/>
      <c r="N85" s="24"/>
      <c r="O85" s="16" t="s">
        <v>404</v>
      </c>
      <c r="P85" s="15"/>
      <c r="Q85" s="1" t="s">
        <v>404</v>
      </c>
      <c r="R85" s="1" t="s">
        <v>404</v>
      </c>
      <c r="S85" s="1" t="s">
        <v>404</v>
      </c>
    </row>
    <row r="86" spans="1:19" x14ac:dyDescent="0.25">
      <c r="A86" s="1" t="s">
        <v>417</v>
      </c>
      <c r="B86" s="1" t="s">
        <v>285</v>
      </c>
      <c r="C86" s="1" t="s">
        <v>286</v>
      </c>
      <c r="D86" s="1" t="s">
        <v>287</v>
      </c>
      <c r="I86" s="1" t="s">
        <v>114</v>
      </c>
      <c r="L86" s="24"/>
      <c r="M86" s="24"/>
      <c r="N86" s="24"/>
      <c r="O86" s="16" t="s">
        <v>404</v>
      </c>
      <c r="P86" s="15"/>
      <c r="Q86" s="1" t="s">
        <v>404</v>
      </c>
      <c r="R86" s="1" t="s">
        <v>404</v>
      </c>
      <c r="S86" s="1" t="s">
        <v>404</v>
      </c>
    </row>
    <row r="87" spans="1:19" x14ac:dyDescent="0.25">
      <c r="A87" s="1" t="s">
        <v>288</v>
      </c>
      <c r="B87" s="1" t="s">
        <v>289</v>
      </c>
      <c r="C87" s="1" t="s">
        <v>286</v>
      </c>
      <c r="D87" s="1" t="s">
        <v>287</v>
      </c>
      <c r="I87" s="1" t="s">
        <v>114</v>
      </c>
      <c r="L87" s="24"/>
      <c r="M87" s="24"/>
      <c r="N87" s="24"/>
      <c r="O87" s="16" t="s">
        <v>404</v>
      </c>
      <c r="P87" s="15"/>
      <c r="Q87" s="1" t="s">
        <v>404</v>
      </c>
      <c r="R87" s="1" t="s">
        <v>404</v>
      </c>
      <c r="S87" s="1" t="s">
        <v>404</v>
      </c>
    </row>
    <row r="88" spans="1:19" x14ac:dyDescent="0.25">
      <c r="A88" s="1" t="s">
        <v>51</v>
      </c>
      <c r="B88" s="1" t="s">
        <v>290</v>
      </c>
      <c r="C88" s="1" t="s">
        <v>291</v>
      </c>
      <c r="D88" s="1" t="s">
        <v>404</v>
      </c>
      <c r="E88">
        <v>1</v>
      </c>
      <c r="F88">
        <v>20089999</v>
      </c>
      <c r="G88">
        <v>45</v>
      </c>
      <c r="H88">
        <v>45</v>
      </c>
      <c r="I88" s="1" t="s">
        <v>114</v>
      </c>
      <c r="K88">
        <v>0</v>
      </c>
      <c r="L88" s="24"/>
      <c r="M88" s="24"/>
      <c r="N88" s="24"/>
      <c r="O88" s="16" t="s">
        <v>404</v>
      </c>
      <c r="P88" s="15"/>
      <c r="Q88" s="1" t="s">
        <v>404</v>
      </c>
      <c r="R88" s="1" t="s">
        <v>404</v>
      </c>
      <c r="S88" s="1" t="s">
        <v>404</v>
      </c>
    </row>
    <row r="89" spans="1:19" x14ac:dyDescent="0.25">
      <c r="A89" s="1" t="s">
        <v>52</v>
      </c>
      <c r="B89" s="1" t="s">
        <v>292</v>
      </c>
      <c r="C89" s="1" t="s">
        <v>291</v>
      </c>
      <c r="D89" s="1" t="s">
        <v>404</v>
      </c>
      <c r="E89">
        <v>1</v>
      </c>
      <c r="F89">
        <v>20089999</v>
      </c>
      <c r="G89">
        <v>30</v>
      </c>
      <c r="H89">
        <v>30</v>
      </c>
      <c r="I89" s="1" t="s">
        <v>114</v>
      </c>
      <c r="J89">
        <v>100</v>
      </c>
      <c r="K89">
        <v>100</v>
      </c>
      <c r="L89" s="24"/>
      <c r="M89" s="24"/>
      <c r="N89" s="24"/>
      <c r="O89" s="16" t="s">
        <v>418</v>
      </c>
      <c r="P89" s="15"/>
      <c r="Q89" s="1" t="s">
        <v>114</v>
      </c>
      <c r="R89" s="1" t="s">
        <v>114</v>
      </c>
      <c r="S89" s="1" t="s">
        <v>404</v>
      </c>
    </row>
    <row r="90" spans="1:19" x14ac:dyDescent="0.25">
      <c r="A90" s="1" t="s">
        <v>53</v>
      </c>
      <c r="B90" s="1" t="s">
        <v>293</v>
      </c>
      <c r="C90" s="1" t="s">
        <v>291</v>
      </c>
      <c r="D90" s="1" t="s">
        <v>404</v>
      </c>
      <c r="E90">
        <v>1</v>
      </c>
      <c r="F90">
        <v>20089999</v>
      </c>
      <c r="G90">
        <v>30</v>
      </c>
      <c r="H90">
        <v>30</v>
      </c>
      <c r="I90" s="1" t="s">
        <v>114</v>
      </c>
      <c r="J90">
        <v>100</v>
      </c>
      <c r="K90">
        <v>100</v>
      </c>
      <c r="L90" s="24"/>
      <c r="M90" s="24"/>
      <c r="N90" s="24"/>
      <c r="O90" s="16" t="s">
        <v>294</v>
      </c>
      <c r="P90" s="15"/>
      <c r="Q90" s="1" t="s">
        <v>114</v>
      </c>
      <c r="R90" s="1" t="s">
        <v>404</v>
      </c>
      <c r="S90" s="1" t="s">
        <v>404</v>
      </c>
    </row>
    <row r="91" spans="1:19" x14ac:dyDescent="0.25">
      <c r="A91" s="1" t="s">
        <v>54</v>
      </c>
      <c r="B91" s="1" t="s">
        <v>295</v>
      </c>
      <c r="C91" s="1" t="s">
        <v>291</v>
      </c>
      <c r="D91" s="1" t="s">
        <v>404</v>
      </c>
      <c r="E91">
        <v>1</v>
      </c>
      <c r="F91">
        <v>20089999</v>
      </c>
      <c r="G91">
        <v>40</v>
      </c>
      <c r="H91">
        <v>40</v>
      </c>
      <c r="I91" s="1" t="s">
        <v>114</v>
      </c>
      <c r="J91">
        <v>100</v>
      </c>
      <c r="K91">
        <v>100</v>
      </c>
      <c r="L91" s="24"/>
      <c r="M91" s="24"/>
      <c r="N91" s="24"/>
      <c r="O91" s="16" t="s">
        <v>294</v>
      </c>
      <c r="P91" s="15"/>
      <c r="Q91" s="1" t="s">
        <v>114</v>
      </c>
      <c r="R91" s="1" t="s">
        <v>114</v>
      </c>
      <c r="S91" s="1" t="s">
        <v>404</v>
      </c>
    </row>
    <row r="92" spans="1:19" x14ac:dyDescent="0.25">
      <c r="A92" s="1" t="s">
        <v>55</v>
      </c>
      <c r="B92" s="1" t="s">
        <v>296</v>
      </c>
      <c r="C92" s="1" t="s">
        <v>291</v>
      </c>
      <c r="D92" s="1" t="s">
        <v>404</v>
      </c>
      <c r="E92">
        <v>1</v>
      </c>
      <c r="F92">
        <v>20089999</v>
      </c>
      <c r="G92">
        <v>30</v>
      </c>
      <c r="H92">
        <v>30</v>
      </c>
      <c r="I92" s="1" t="s">
        <v>114</v>
      </c>
      <c r="J92">
        <v>100</v>
      </c>
      <c r="K92">
        <v>100</v>
      </c>
      <c r="L92" s="24"/>
      <c r="M92" s="24"/>
      <c r="N92" s="24"/>
      <c r="O92" s="16" t="s">
        <v>404</v>
      </c>
      <c r="P92" s="15"/>
      <c r="Q92" s="1" t="s">
        <v>404</v>
      </c>
      <c r="R92" s="1" t="s">
        <v>404</v>
      </c>
      <c r="S92" s="1" t="s">
        <v>404</v>
      </c>
    </row>
    <row r="93" spans="1:19" x14ac:dyDescent="0.25">
      <c r="A93" s="1" t="s">
        <v>56</v>
      </c>
      <c r="B93" s="1" t="s">
        <v>297</v>
      </c>
      <c r="C93" s="1" t="s">
        <v>291</v>
      </c>
      <c r="D93" s="1" t="s">
        <v>404</v>
      </c>
      <c r="E93">
        <v>1</v>
      </c>
      <c r="F93">
        <v>20089999</v>
      </c>
      <c r="G93">
        <v>40</v>
      </c>
      <c r="H93">
        <v>40</v>
      </c>
      <c r="I93" s="1" t="s">
        <v>114</v>
      </c>
      <c r="J93">
        <v>100</v>
      </c>
      <c r="K93">
        <v>100</v>
      </c>
      <c r="L93" s="24"/>
      <c r="M93" s="24"/>
      <c r="N93" s="24"/>
      <c r="O93" s="16" t="s">
        <v>404</v>
      </c>
      <c r="P93" s="15"/>
      <c r="Q93" s="1" t="s">
        <v>404</v>
      </c>
      <c r="R93" s="1" t="s">
        <v>404</v>
      </c>
      <c r="S93" s="1" t="s">
        <v>404</v>
      </c>
    </row>
    <row r="94" spans="1:19" x14ac:dyDescent="0.25">
      <c r="A94" s="1" t="s">
        <v>57</v>
      </c>
      <c r="B94" s="1" t="s">
        <v>298</v>
      </c>
      <c r="C94" s="1" t="s">
        <v>291</v>
      </c>
      <c r="D94" s="1" t="s">
        <v>404</v>
      </c>
      <c r="E94">
        <v>1</v>
      </c>
      <c r="F94">
        <v>20089999</v>
      </c>
      <c r="G94">
        <v>35</v>
      </c>
      <c r="H94">
        <v>35</v>
      </c>
      <c r="I94" s="1" t="s">
        <v>114</v>
      </c>
      <c r="J94">
        <v>100</v>
      </c>
      <c r="K94">
        <v>100</v>
      </c>
      <c r="L94" s="24"/>
      <c r="M94" s="24"/>
      <c r="N94" s="24"/>
      <c r="O94" s="16" t="s">
        <v>294</v>
      </c>
      <c r="P94" s="15"/>
      <c r="Q94" s="1" t="s">
        <v>114</v>
      </c>
      <c r="R94" s="1" t="s">
        <v>404</v>
      </c>
      <c r="S94" s="1" t="s">
        <v>404</v>
      </c>
    </row>
    <row r="95" spans="1:19" x14ac:dyDescent="0.25">
      <c r="A95" s="1" t="s">
        <v>58</v>
      </c>
      <c r="B95" s="1" t="s">
        <v>299</v>
      </c>
      <c r="C95" s="1" t="s">
        <v>291</v>
      </c>
      <c r="D95" s="1" t="s">
        <v>404</v>
      </c>
      <c r="E95">
        <v>1</v>
      </c>
      <c r="F95">
        <v>20089999</v>
      </c>
      <c r="G95">
        <v>40</v>
      </c>
      <c r="H95">
        <v>40</v>
      </c>
      <c r="I95" s="1" t="s">
        <v>114</v>
      </c>
      <c r="J95">
        <v>100</v>
      </c>
      <c r="K95">
        <v>100</v>
      </c>
      <c r="L95" s="24"/>
      <c r="M95" s="24"/>
      <c r="N95" s="24"/>
      <c r="O95" s="16" t="s">
        <v>404</v>
      </c>
      <c r="P95" s="15"/>
      <c r="Q95" s="1" t="s">
        <v>404</v>
      </c>
      <c r="R95" s="1" t="s">
        <v>404</v>
      </c>
      <c r="S95" s="1" t="s">
        <v>404</v>
      </c>
    </row>
    <row r="96" spans="1:19" x14ac:dyDescent="0.25">
      <c r="A96" s="1" t="s">
        <v>59</v>
      </c>
      <c r="B96" s="1" t="s">
        <v>300</v>
      </c>
      <c r="C96" s="1" t="s">
        <v>301</v>
      </c>
      <c r="D96" s="1" t="s">
        <v>302</v>
      </c>
      <c r="E96">
        <v>24</v>
      </c>
      <c r="F96">
        <v>20089999</v>
      </c>
      <c r="G96">
        <v>40</v>
      </c>
      <c r="H96">
        <v>1.67</v>
      </c>
      <c r="I96" s="1" t="s">
        <v>114</v>
      </c>
      <c r="J96">
        <v>100</v>
      </c>
      <c r="K96">
        <v>4</v>
      </c>
      <c r="L96" s="24"/>
      <c r="M96" s="24"/>
      <c r="N96" s="24"/>
      <c r="O96" s="16" t="s">
        <v>404</v>
      </c>
      <c r="P96" s="15"/>
      <c r="Q96" s="1" t="s">
        <v>404</v>
      </c>
      <c r="R96" s="1" t="s">
        <v>404</v>
      </c>
      <c r="S96" s="1" t="s">
        <v>404</v>
      </c>
    </row>
    <row r="97" spans="1:19" x14ac:dyDescent="0.25">
      <c r="A97" s="1" t="s">
        <v>303</v>
      </c>
      <c r="B97" s="1" t="s">
        <v>304</v>
      </c>
      <c r="C97" s="1" t="s">
        <v>196</v>
      </c>
      <c r="D97" s="1" t="s">
        <v>119</v>
      </c>
      <c r="I97" s="1" t="s">
        <v>404</v>
      </c>
      <c r="L97" s="24"/>
      <c r="M97" s="24"/>
      <c r="N97" s="24"/>
      <c r="O97" s="16" t="s">
        <v>404</v>
      </c>
      <c r="P97" s="15"/>
      <c r="Q97" s="1" t="s">
        <v>404</v>
      </c>
      <c r="R97" s="1" t="s">
        <v>404</v>
      </c>
      <c r="S97" s="1" t="s">
        <v>404</v>
      </c>
    </row>
    <row r="98" spans="1:19" x14ac:dyDescent="0.25">
      <c r="A98" s="1" t="s">
        <v>305</v>
      </c>
      <c r="B98" s="1" t="s">
        <v>306</v>
      </c>
      <c r="C98" s="1" t="s">
        <v>307</v>
      </c>
      <c r="D98" s="1" t="s">
        <v>308</v>
      </c>
      <c r="E98">
        <v>60</v>
      </c>
      <c r="H98">
        <v>0</v>
      </c>
      <c r="I98" s="1" t="s">
        <v>114</v>
      </c>
      <c r="K98">
        <v>0</v>
      </c>
      <c r="L98" s="26" t="s">
        <v>464</v>
      </c>
      <c r="M98" s="26" t="s">
        <v>465</v>
      </c>
      <c r="N98" s="26" t="s">
        <v>460</v>
      </c>
      <c r="O98" s="16" t="s">
        <v>404</v>
      </c>
      <c r="P98" s="15"/>
      <c r="Q98" s="1" t="s">
        <v>404</v>
      </c>
      <c r="R98" s="1" t="s">
        <v>404</v>
      </c>
      <c r="S98" s="1" t="s">
        <v>404</v>
      </c>
    </row>
    <row r="99" spans="1:19" x14ac:dyDescent="0.25">
      <c r="A99" s="1" t="s">
        <v>60</v>
      </c>
      <c r="B99" s="1" t="s">
        <v>309</v>
      </c>
      <c r="C99" s="1" t="s">
        <v>291</v>
      </c>
      <c r="D99" s="1" t="s">
        <v>404</v>
      </c>
      <c r="E99">
        <v>1</v>
      </c>
      <c r="F99">
        <v>20089999</v>
      </c>
      <c r="G99">
        <v>35</v>
      </c>
      <c r="H99">
        <v>35</v>
      </c>
      <c r="I99" s="1" t="s">
        <v>404</v>
      </c>
      <c r="J99">
        <v>100</v>
      </c>
      <c r="K99">
        <v>100</v>
      </c>
      <c r="L99" s="24"/>
      <c r="M99" s="24"/>
      <c r="N99" s="24"/>
      <c r="O99" s="16" t="s">
        <v>404</v>
      </c>
      <c r="P99" s="15"/>
      <c r="Q99" s="1" t="s">
        <v>404</v>
      </c>
      <c r="R99" s="1" t="s">
        <v>404</v>
      </c>
      <c r="S99" s="1" t="s">
        <v>404</v>
      </c>
    </row>
    <row r="100" spans="1:19" x14ac:dyDescent="0.25">
      <c r="A100" s="1" t="s">
        <v>61</v>
      </c>
      <c r="B100" s="1" t="s">
        <v>310</v>
      </c>
      <c r="C100" s="1" t="s">
        <v>180</v>
      </c>
      <c r="D100" s="1" t="s">
        <v>311</v>
      </c>
      <c r="E100">
        <v>100</v>
      </c>
      <c r="F100">
        <v>17049020</v>
      </c>
      <c r="G100">
        <v>200</v>
      </c>
      <c r="H100">
        <v>2</v>
      </c>
      <c r="I100" s="1" t="s">
        <v>114</v>
      </c>
      <c r="J100">
        <v>690</v>
      </c>
      <c r="K100">
        <v>7</v>
      </c>
      <c r="L100" s="24"/>
      <c r="M100" s="24"/>
      <c r="N100" s="24"/>
      <c r="O100" s="16" t="s">
        <v>404</v>
      </c>
      <c r="P100" s="15"/>
      <c r="Q100" s="1" t="s">
        <v>114</v>
      </c>
      <c r="R100" s="1" t="s">
        <v>404</v>
      </c>
      <c r="S100" s="1" t="s">
        <v>404</v>
      </c>
    </row>
    <row r="101" spans="1:19" x14ac:dyDescent="0.25">
      <c r="A101" s="1" t="s">
        <v>62</v>
      </c>
      <c r="B101" s="1" t="s">
        <v>312</v>
      </c>
      <c r="C101" s="1" t="s">
        <v>313</v>
      </c>
      <c r="D101" s="1" t="s">
        <v>404</v>
      </c>
      <c r="E101">
        <v>48</v>
      </c>
      <c r="F101">
        <v>9103090</v>
      </c>
      <c r="G101">
        <v>240</v>
      </c>
      <c r="H101">
        <v>5</v>
      </c>
      <c r="I101" s="1" t="s">
        <v>114</v>
      </c>
      <c r="J101">
        <v>288</v>
      </c>
      <c r="K101">
        <v>6</v>
      </c>
      <c r="L101" s="24"/>
      <c r="M101" s="24"/>
      <c r="N101" s="24"/>
      <c r="O101" s="16" t="s">
        <v>404</v>
      </c>
      <c r="P101" s="15"/>
      <c r="Q101" s="1" t="s">
        <v>404</v>
      </c>
      <c r="R101" s="1" t="s">
        <v>404</v>
      </c>
      <c r="S101" s="1" t="s">
        <v>404</v>
      </c>
    </row>
    <row r="102" spans="1:19" x14ac:dyDescent="0.25">
      <c r="A102" s="1" t="s">
        <v>63</v>
      </c>
      <c r="B102" s="1" t="s">
        <v>314</v>
      </c>
      <c r="C102" s="1" t="s">
        <v>404</v>
      </c>
      <c r="D102" s="1" t="s">
        <v>404</v>
      </c>
      <c r="E102">
        <v>1</v>
      </c>
      <c r="F102">
        <v>20089999</v>
      </c>
      <c r="G102">
        <v>50</v>
      </c>
      <c r="H102">
        <v>50</v>
      </c>
      <c r="I102" s="1" t="s">
        <v>114</v>
      </c>
      <c r="J102">
        <v>100</v>
      </c>
      <c r="K102">
        <v>100</v>
      </c>
      <c r="L102" s="24"/>
      <c r="M102" s="24"/>
      <c r="N102" s="24"/>
      <c r="O102" s="16" t="s">
        <v>404</v>
      </c>
      <c r="P102" s="15"/>
      <c r="Q102" s="1" t="s">
        <v>404</v>
      </c>
      <c r="R102" s="1" t="s">
        <v>404</v>
      </c>
      <c r="S102" s="1" t="s">
        <v>404</v>
      </c>
    </row>
    <row r="103" spans="1:19" x14ac:dyDescent="0.25">
      <c r="A103" s="1" t="s">
        <v>315</v>
      </c>
      <c r="B103" s="1" t="s">
        <v>316</v>
      </c>
      <c r="C103" s="1" t="s">
        <v>317</v>
      </c>
      <c r="D103" s="1" t="s">
        <v>404</v>
      </c>
      <c r="I103" s="1" t="s">
        <v>404</v>
      </c>
      <c r="K103">
        <v>3</v>
      </c>
      <c r="L103" s="26" t="s">
        <v>458</v>
      </c>
      <c r="M103" s="26" t="s">
        <v>466</v>
      </c>
      <c r="N103" s="26" t="s">
        <v>448</v>
      </c>
      <c r="O103" s="16" t="s">
        <v>404</v>
      </c>
      <c r="P103" s="15"/>
      <c r="Q103" s="1" t="s">
        <v>404</v>
      </c>
      <c r="R103" s="1" t="s">
        <v>404</v>
      </c>
      <c r="S103" s="1" t="s">
        <v>404</v>
      </c>
    </row>
    <row r="104" spans="1:19" x14ac:dyDescent="0.25">
      <c r="A104" s="1" t="s">
        <v>64</v>
      </c>
      <c r="B104" s="1" t="s">
        <v>318</v>
      </c>
      <c r="C104" s="1" t="s">
        <v>319</v>
      </c>
      <c r="D104" s="1" t="s">
        <v>320</v>
      </c>
      <c r="E104">
        <v>1</v>
      </c>
      <c r="F104">
        <v>17049090</v>
      </c>
      <c r="G104">
        <v>35</v>
      </c>
      <c r="H104">
        <v>35</v>
      </c>
      <c r="I104" s="1" t="s">
        <v>114</v>
      </c>
      <c r="J104">
        <v>100</v>
      </c>
      <c r="K104">
        <v>100</v>
      </c>
      <c r="L104" s="24"/>
      <c r="M104" s="24"/>
      <c r="N104" s="24"/>
      <c r="O104" s="16" t="s">
        <v>404</v>
      </c>
      <c r="P104" s="15"/>
      <c r="Q104" s="1" t="s">
        <v>404</v>
      </c>
      <c r="R104" s="1" t="s">
        <v>404</v>
      </c>
      <c r="S104" s="1" t="s">
        <v>404</v>
      </c>
    </row>
    <row r="105" spans="1:19" x14ac:dyDescent="0.25">
      <c r="A105" s="1" t="s">
        <v>65</v>
      </c>
      <c r="B105" s="1" t="s">
        <v>321</v>
      </c>
      <c r="C105" s="1" t="s">
        <v>319</v>
      </c>
      <c r="D105" s="1" t="s">
        <v>320</v>
      </c>
      <c r="E105">
        <v>1</v>
      </c>
      <c r="F105">
        <v>20089999</v>
      </c>
      <c r="G105">
        <v>35</v>
      </c>
      <c r="H105">
        <v>35</v>
      </c>
      <c r="I105" s="1" t="s">
        <v>114</v>
      </c>
      <c r="J105">
        <v>100</v>
      </c>
      <c r="K105">
        <v>100</v>
      </c>
      <c r="L105" s="24"/>
      <c r="M105" s="24"/>
      <c r="N105" s="24"/>
      <c r="O105" s="16" t="s">
        <v>322</v>
      </c>
      <c r="P105" s="15"/>
      <c r="Q105" s="1" t="s">
        <v>114</v>
      </c>
      <c r="R105" s="1" t="s">
        <v>114</v>
      </c>
      <c r="S105" s="1" t="s">
        <v>404</v>
      </c>
    </row>
    <row r="106" spans="1:19" x14ac:dyDescent="0.25">
      <c r="A106" s="1" t="s">
        <v>66</v>
      </c>
      <c r="B106" s="1" t="s">
        <v>323</v>
      </c>
      <c r="C106" s="1" t="s">
        <v>319</v>
      </c>
      <c r="D106" s="1" t="s">
        <v>320</v>
      </c>
      <c r="E106">
        <v>1</v>
      </c>
      <c r="F106">
        <v>20089999</v>
      </c>
      <c r="G106">
        <v>35</v>
      </c>
      <c r="H106">
        <v>35</v>
      </c>
      <c r="I106" s="1" t="s">
        <v>114</v>
      </c>
      <c r="J106">
        <v>100</v>
      </c>
      <c r="K106">
        <v>100</v>
      </c>
      <c r="L106" s="24"/>
      <c r="M106" s="24"/>
      <c r="N106" s="24"/>
      <c r="O106" s="16" t="s">
        <v>404</v>
      </c>
      <c r="P106" s="15"/>
      <c r="Q106" s="1" t="s">
        <v>404</v>
      </c>
      <c r="R106" s="1" t="s">
        <v>404</v>
      </c>
      <c r="S106" s="1" t="s">
        <v>404</v>
      </c>
    </row>
    <row r="107" spans="1:19" x14ac:dyDescent="0.25">
      <c r="A107" s="1" t="s">
        <v>67</v>
      </c>
      <c r="B107" s="1" t="s">
        <v>324</v>
      </c>
      <c r="C107" s="1" t="s">
        <v>319</v>
      </c>
      <c r="D107" s="1" t="s">
        <v>320</v>
      </c>
      <c r="E107">
        <v>1</v>
      </c>
      <c r="F107">
        <v>17049090</v>
      </c>
      <c r="G107">
        <v>35</v>
      </c>
      <c r="H107">
        <v>35</v>
      </c>
      <c r="I107" s="1" t="s">
        <v>114</v>
      </c>
      <c r="J107">
        <v>100</v>
      </c>
      <c r="K107">
        <v>100</v>
      </c>
      <c r="L107" s="24"/>
      <c r="M107" s="24"/>
      <c r="N107" s="24"/>
      <c r="O107" s="16" t="s">
        <v>322</v>
      </c>
      <c r="P107" s="15"/>
      <c r="Q107" s="1" t="s">
        <v>114</v>
      </c>
      <c r="R107" s="1" t="s">
        <v>126</v>
      </c>
      <c r="S107" s="1" t="s">
        <v>404</v>
      </c>
    </row>
    <row r="108" spans="1:19" x14ac:dyDescent="0.25">
      <c r="A108" s="1" t="s">
        <v>325</v>
      </c>
      <c r="B108" s="1" t="s">
        <v>326</v>
      </c>
      <c r="C108" s="1" t="s">
        <v>319</v>
      </c>
      <c r="D108" s="1" t="s">
        <v>320</v>
      </c>
      <c r="E108">
        <v>1</v>
      </c>
      <c r="F108">
        <v>17049090</v>
      </c>
      <c r="G108">
        <v>30</v>
      </c>
      <c r="H108">
        <v>30</v>
      </c>
      <c r="I108" s="1" t="s">
        <v>114</v>
      </c>
      <c r="J108">
        <v>100</v>
      </c>
      <c r="K108">
        <v>100</v>
      </c>
      <c r="L108" s="24"/>
      <c r="M108" s="24"/>
      <c r="N108" s="24"/>
      <c r="O108" s="16" t="s">
        <v>419</v>
      </c>
      <c r="P108" s="15"/>
      <c r="Q108" s="1" t="s">
        <v>114</v>
      </c>
      <c r="R108" s="1" t="s">
        <v>126</v>
      </c>
      <c r="S108" s="1" t="s">
        <v>404</v>
      </c>
    </row>
    <row r="109" spans="1:19" x14ac:dyDescent="0.25">
      <c r="A109" s="1" t="s">
        <v>327</v>
      </c>
      <c r="B109" s="1" t="s">
        <v>328</v>
      </c>
      <c r="C109" s="1" t="s">
        <v>404</v>
      </c>
      <c r="D109" s="1" t="s">
        <v>404</v>
      </c>
      <c r="I109" s="1" t="s">
        <v>404</v>
      </c>
      <c r="L109" s="24"/>
      <c r="M109" s="24"/>
      <c r="N109" s="24"/>
      <c r="O109" s="16" t="s">
        <v>404</v>
      </c>
      <c r="P109" s="15"/>
      <c r="Q109" s="1" t="s">
        <v>404</v>
      </c>
      <c r="R109" s="1" t="s">
        <v>404</v>
      </c>
      <c r="S109" s="1" t="s">
        <v>404</v>
      </c>
    </row>
    <row r="110" spans="1:19" x14ac:dyDescent="0.25">
      <c r="A110" s="1" t="s">
        <v>68</v>
      </c>
      <c r="B110" s="1" t="s">
        <v>329</v>
      </c>
      <c r="C110" s="1" t="s">
        <v>330</v>
      </c>
      <c r="D110" s="1" t="s">
        <v>331</v>
      </c>
      <c r="E110">
        <v>30</v>
      </c>
      <c r="F110">
        <v>17049090</v>
      </c>
      <c r="G110">
        <v>30</v>
      </c>
      <c r="H110">
        <v>1</v>
      </c>
      <c r="I110" s="1" t="s">
        <v>114</v>
      </c>
      <c r="J110">
        <v>105</v>
      </c>
      <c r="K110">
        <v>4</v>
      </c>
      <c r="L110" s="24"/>
      <c r="M110" s="24"/>
      <c r="N110" s="24"/>
      <c r="O110" s="16" t="s">
        <v>404</v>
      </c>
      <c r="P110" s="15"/>
      <c r="Q110" s="1" t="s">
        <v>404</v>
      </c>
      <c r="R110" s="1" t="s">
        <v>404</v>
      </c>
      <c r="S110" s="1" t="s">
        <v>404</v>
      </c>
    </row>
    <row r="111" spans="1:19" x14ac:dyDescent="0.25">
      <c r="A111" s="1" t="s">
        <v>69</v>
      </c>
      <c r="B111" s="1" t="s">
        <v>332</v>
      </c>
      <c r="C111" s="1" t="s">
        <v>330</v>
      </c>
      <c r="D111" s="1" t="s">
        <v>331</v>
      </c>
      <c r="E111">
        <v>30</v>
      </c>
      <c r="F111">
        <v>17049090</v>
      </c>
      <c r="G111">
        <v>30</v>
      </c>
      <c r="H111">
        <v>1</v>
      </c>
      <c r="I111" s="1" t="s">
        <v>114</v>
      </c>
      <c r="J111">
        <v>120</v>
      </c>
      <c r="K111">
        <v>4</v>
      </c>
      <c r="L111" s="24"/>
      <c r="M111" s="24"/>
      <c r="N111" s="24"/>
      <c r="O111" s="16" t="s">
        <v>404</v>
      </c>
      <c r="P111" s="15"/>
      <c r="Q111" s="1" t="s">
        <v>114</v>
      </c>
      <c r="R111" s="1" t="s">
        <v>114</v>
      </c>
      <c r="S111" s="1" t="s">
        <v>404</v>
      </c>
    </row>
    <row r="112" spans="1:19" x14ac:dyDescent="0.25">
      <c r="A112" s="1" t="s">
        <v>333</v>
      </c>
      <c r="B112" s="1" t="s">
        <v>334</v>
      </c>
      <c r="C112" s="1" t="s">
        <v>335</v>
      </c>
      <c r="D112" s="1" t="s">
        <v>404</v>
      </c>
      <c r="I112" s="1" t="s">
        <v>404</v>
      </c>
      <c r="J112">
        <v>595</v>
      </c>
      <c r="L112" s="24"/>
      <c r="M112" s="24"/>
      <c r="N112" s="24"/>
      <c r="O112" s="16" t="s">
        <v>420</v>
      </c>
      <c r="P112" s="15"/>
      <c r="Q112" s="1" t="s">
        <v>404</v>
      </c>
      <c r="R112" s="1" t="s">
        <v>404</v>
      </c>
      <c r="S112" s="1" t="s">
        <v>404</v>
      </c>
    </row>
    <row r="113" spans="1:19" x14ac:dyDescent="0.25">
      <c r="A113" s="1" t="s">
        <v>70</v>
      </c>
      <c r="B113" s="1" t="s">
        <v>336</v>
      </c>
      <c r="C113" s="1" t="s">
        <v>207</v>
      </c>
      <c r="D113" s="1" t="s">
        <v>404</v>
      </c>
      <c r="E113">
        <v>35</v>
      </c>
      <c r="F113">
        <v>18069010</v>
      </c>
      <c r="G113">
        <v>350</v>
      </c>
      <c r="H113">
        <v>10</v>
      </c>
      <c r="I113" s="1" t="s">
        <v>114</v>
      </c>
      <c r="J113">
        <v>1120</v>
      </c>
      <c r="K113">
        <v>32</v>
      </c>
      <c r="L113" s="24"/>
      <c r="M113" s="24"/>
      <c r="N113" s="24"/>
      <c r="O113" s="16" t="s">
        <v>404</v>
      </c>
      <c r="P113" s="15"/>
      <c r="Q113" s="1" t="s">
        <v>404</v>
      </c>
      <c r="R113" s="1" t="s">
        <v>404</v>
      </c>
      <c r="S113" s="1" t="s">
        <v>404</v>
      </c>
    </row>
    <row r="114" spans="1:19" x14ac:dyDescent="0.25">
      <c r="A114" s="1" t="s">
        <v>71</v>
      </c>
      <c r="B114" s="1" t="s">
        <v>337</v>
      </c>
      <c r="C114" s="1" t="s">
        <v>207</v>
      </c>
      <c r="D114" s="1" t="s">
        <v>404</v>
      </c>
      <c r="E114">
        <v>32</v>
      </c>
      <c r="F114">
        <v>18069010</v>
      </c>
      <c r="G114">
        <v>160</v>
      </c>
      <c r="H114">
        <v>5</v>
      </c>
      <c r="I114" s="1" t="s">
        <v>114</v>
      </c>
      <c r="J114">
        <v>333</v>
      </c>
      <c r="K114">
        <v>10.4</v>
      </c>
      <c r="L114" s="24">
        <v>145</v>
      </c>
      <c r="M114" s="24">
        <v>18</v>
      </c>
      <c r="N114" s="24">
        <v>7</v>
      </c>
      <c r="O114" s="16" t="s">
        <v>404</v>
      </c>
      <c r="P114" s="15"/>
      <c r="Q114" s="1" t="s">
        <v>404</v>
      </c>
      <c r="R114" s="1" t="s">
        <v>404</v>
      </c>
      <c r="S114" s="1" t="s">
        <v>404</v>
      </c>
    </row>
    <row r="115" spans="1:19" x14ac:dyDescent="0.25">
      <c r="A115" s="1" t="s">
        <v>338</v>
      </c>
      <c r="B115" s="1" t="s">
        <v>339</v>
      </c>
      <c r="C115" s="1" t="s">
        <v>118</v>
      </c>
      <c r="D115" s="1" t="s">
        <v>119</v>
      </c>
      <c r="E115">
        <v>160</v>
      </c>
      <c r="H115">
        <v>0</v>
      </c>
      <c r="I115" s="1" t="s">
        <v>404</v>
      </c>
      <c r="J115">
        <v>450</v>
      </c>
      <c r="K115">
        <v>3</v>
      </c>
      <c r="L115" s="24"/>
      <c r="M115" s="24"/>
      <c r="N115" s="24"/>
      <c r="O115" s="16" t="s">
        <v>404</v>
      </c>
      <c r="P115" s="15"/>
      <c r="Q115" s="1" t="s">
        <v>114</v>
      </c>
      <c r="R115" s="1" t="s">
        <v>126</v>
      </c>
      <c r="S115" s="1" t="s">
        <v>404</v>
      </c>
    </row>
    <row r="116" spans="1:19" x14ac:dyDescent="0.25">
      <c r="A116" s="1" t="s">
        <v>340</v>
      </c>
      <c r="B116" s="1" t="s">
        <v>341</v>
      </c>
      <c r="C116" s="1" t="s">
        <v>118</v>
      </c>
      <c r="D116" s="1" t="s">
        <v>119</v>
      </c>
      <c r="E116">
        <v>24</v>
      </c>
      <c r="H116">
        <v>0</v>
      </c>
      <c r="I116" s="1" t="s">
        <v>114</v>
      </c>
      <c r="K116">
        <v>0</v>
      </c>
      <c r="L116" s="24"/>
      <c r="M116" s="24"/>
      <c r="N116" s="24"/>
      <c r="O116" s="16" t="s">
        <v>404</v>
      </c>
      <c r="P116" s="15"/>
      <c r="Q116" s="1" t="s">
        <v>114</v>
      </c>
      <c r="R116" s="1" t="s">
        <v>404</v>
      </c>
      <c r="S116" s="1" t="s">
        <v>404</v>
      </c>
    </row>
    <row r="117" spans="1:19" x14ac:dyDescent="0.25">
      <c r="A117" s="1" t="s">
        <v>342</v>
      </c>
      <c r="B117" s="1" t="s">
        <v>343</v>
      </c>
      <c r="C117" s="1" t="s">
        <v>118</v>
      </c>
      <c r="D117" s="1" t="s">
        <v>119</v>
      </c>
      <c r="I117" s="1" t="s">
        <v>404</v>
      </c>
      <c r="L117" s="24"/>
      <c r="M117" s="24"/>
      <c r="N117" s="24"/>
      <c r="O117" s="16" t="s">
        <v>404</v>
      </c>
      <c r="P117" s="15"/>
      <c r="Q117" s="1" t="s">
        <v>114</v>
      </c>
      <c r="R117" s="1" t="s">
        <v>126</v>
      </c>
      <c r="S117" s="1" t="s">
        <v>404</v>
      </c>
    </row>
    <row r="118" spans="1:19" x14ac:dyDescent="0.25">
      <c r="A118" s="1" t="s">
        <v>72</v>
      </c>
      <c r="B118" s="1" t="s">
        <v>344</v>
      </c>
      <c r="C118" s="1" t="s">
        <v>185</v>
      </c>
      <c r="D118" s="1" t="s">
        <v>404</v>
      </c>
      <c r="E118">
        <v>1</v>
      </c>
      <c r="F118">
        <v>21069099</v>
      </c>
      <c r="G118">
        <v>5</v>
      </c>
      <c r="H118">
        <v>5</v>
      </c>
      <c r="I118" s="1" t="s">
        <v>114</v>
      </c>
      <c r="J118">
        <v>18</v>
      </c>
      <c r="K118">
        <v>18</v>
      </c>
      <c r="L118" s="26" t="s">
        <v>449</v>
      </c>
      <c r="M118" s="26" t="s">
        <v>441</v>
      </c>
      <c r="N118" s="27" t="s">
        <v>450</v>
      </c>
      <c r="O118" s="16" t="s">
        <v>404</v>
      </c>
      <c r="P118" s="15"/>
      <c r="Q118" s="1" t="s">
        <v>404</v>
      </c>
      <c r="R118" s="1" t="s">
        <v>404</v>
      </c>
      <c r="S118" s="1" t="s">
        <v>404</v>
      </c>
    </row>
    <row r="119" spans="1:19" x14ac:dyDescent="0.25">
      <c r="A119" s="1" t="s">
        <v>73</v>
      </c>
      <c r="B119" s="1" t="s">
        <v>345</v>
      </c>
      <c r="C119" s="1" t="s">
        <v>207</v>
      </c>
      <c r="D119" s="1" t="s">
        <v>346</v>
      </c>
      <c r="E119">
        <v>27</v>
      </c>
      <c r="F119">
        <v>17049090</v>
      </c>
      <c r="G119">
        <v>270</v>
      </c>
      <c r="H119">
        <v>10</v>
      </c>
      <c r="I119" s="1" t="s">
        <v>114</v>
      </c>
      <c r="J119">
        <v>338</v>
      </c>
      <c r="K119">
        <v>13</v>
      </c>
      <c r="L119" s="24"/>
      <c r="M119" s="24"/>
      <c r="N119" s="24"/>
      <c r="O119" s="16" t="s">
        <v>404</v>
      </c>
      <c r="P119" s="15"/>
      <c r="Q119" s="1" t="s">
        <v>114</v>
      </c>
      <c r="R119" s="1" t="s">
        <v>404</v>
      </c>
      <c r="S119" s="1" t="s">
        <v>404</v>
      </c>
    </row>
    <row r="120" spans="1:19" x14ac:dyDescent="0.25">
      <c r="A120" s="1" t="s">
        <v>74</v>
      </c>
      <c r="B120" s="1" t="s">
        <v>347</v>
      </c>
      <c r="C120" s="1" t="s">
        <v>207</v>
      </c>
      <c r="D120" s="1" t="s">
        <v>346</v>
      </c>
      <c r="E120">
        <v>24</v>
      </c>
      <c r="F120">
        <v>17049090</v>
      </c>
      <c r="G120">
        <v>480</v>
      </c>
      <c r="H120">
        <v>20</v>
      </c>
      <c r="I120" s="1" t="s">
        <v>114</v>
      </c>
      <c r="J120">
        <v>588</v>
      </c>
      <c r="K120">
        <v>25</v>
      </c>
      <c r="L120" s="24"/>
      <c r="M120" s="24"/>
      <c r="N120" s="24"/>
      <c r="O120" s="16" t="s">
        <v>404</v>
      </c>
      <c r="P120" s="15"/>
      <c r="Q120" s="1" t="s">
        <v>114</v>
      </c>
      <c r="R120" s="1" t="s">
        <v>404</v>
      </c>
      <c r="S120" s="1" t="s">
        <v>404</v>
      </c>
    </row>
    <row r="121" spans="1:19" x14ac:dyDescent="0.25">
      <c r="A121" s="1" t="s">
        <v>75</v>
      </c>
      <c r="B121" s="1" t="s">
        <v>348</v>
      </c>
      <c r="C121" s="1" t="s">
        <v>207</v>
      </c>
      <c r="D121" s="1" t="s">
        <v>346</v>
      </c>
      <c r="E121">
        <v>23</v>
      </c>
      <c r="F121">
        <v>17049090</v>
      </c>
      <c r="G121">
        <v>115</v>
      </c>
      <c r="H121">
        <v>5</v>
      </c>
      <c r="I121" s="1" t="s">
        <v>114</v>
      </c>
      <c r="J121">
        <v>345</v>
      </c>
      <c r="K121">
        <v>15</v>
      </c>
      <c r="L121" s="24"/>
      <c r="M121" s="24"/>
      <c r="N121" s="24"/>
      <c r="O121" s="16" t="s">
        <v>404</v>
      </c>
      <c r="P121" s="15"/>
      <c r="Q121" s="1" t="s">
        <v>114</v>
      </c>
      <c r="R121" s="1" t="s">
        <v>126</v>
      </c>
      <c r="S121" s="1" t="s">
        <v>404</v>
      </c>
    </row>
    <row r="122" spans="1:19" x14ac:dyDescent="0.25">
      <c r="A122" s="1" t="s">
        <v>349</v>
      </c>
      <c r="B122" s="1" t="s">
        <v>350</v>
      </c>
      <c r="C122" s="1" t="s">
        <v>404</v>
      </c>
      <c r="D122" s="1" t="s">
        <v>404</v>
      </c>
      <c r="I122" s="1" t="s">
        <v>404</v>
      </c>
      <c r="L122" s="24"/>
      <c r="M122" s="24"/>
      <c r="N122" s="24"/>
      <c r="O122" s="16" t="s">
        <v>404</v>
      </c>
      <c r="P122" s="15"/>
      <c r="Q122" s="1" t="s">
        <v>404</v>
      </c>
      <c r="R122" s="1" t="s">
        <v>404</v>
      </c>
      <c r="S122" s="1" t="s">
        <v>404</v>
      </c>
    </row>
    <row r="123" spans="1:19" x14ac:dyDescent="0.25">
      <c r="A123" s="1" t="s">
        <v>351</v>
      </c>
      <c r="B123" s="1" t="s">
        <v>352</v>
      </c>
      <c r="C123" s="1" t="s">
        <v>353</v>
      </c>
      <c r="D123" s="1" t="s">
        <v>404</v>
      </c>
      <c r="I123" s="1" t="s">
        <v>404</v>
      </c>
      <c r="L123" s="24"/>
      <c r="M123" s="24"/>
      <c r="N123" s="24"/>
      <c r="O123" s="16" t="s">
        <v>404</v>
      </c>
      <c r="P123" s="15"/>
      <c r="Q123" s="1" t="s">
        <v>404</v>
      </c>
      <c r="R123" s="1" t="s">
        <v>404</v>
      </c>
      <c r="S123" s="1" t="s">
        <v>404</v>
      </c>
    </row>
    <row r="124" spans="1:19" x14ac:dyDescent="0.25">
      <c r="A124" s="1" t="s">
        <v>354</v>
      </c>
      <c r="B124" s="1" t="s">
        <v>355</v>
      </c>
      <c r="C124" s="1" t="s">
        <v>353</v>
      </c>
      <c r="D124" s="1" t="s">
        <v>404</v>
      </c>
      <c r="I124" s="1" t="s">
        <v>404</v>
      </c>
      <c r="L124" s="24"/>
      <c r="M124" s="24"/>
      <c r="N124" s="24"/>
      <c r="O124" s="16" t="s">
        <v>404</v>
      </c>
      <c r="P124" s="15"/>
      <c r="Q124" s="1" t="s">
        <v>404</v>
      </c>
      <c r="R124" s="1" t="s">
        <v>404</v>
      </c>
      <c r="S124" s="1" t="s">
        <v>404</v>
      </c>
    </row>
    <row r="125" spans="1:19" x14ac:dyDescent="0.25">
      <c r="A125" s="1" t="s">
        <v>356</v>
      </c>
      <c r="B125" s="1" t="s">
        <v>357</v>
      </c>
      <c r="C125" s="1" t="s">
        <v>403</v>
      </c>
      <c r="D125" s="1" t="s">
        <v>119</v>
      </c>
      <c r="I125" s="1" t="s">
        <v>114</v>
      </c>
      <c r="L125" s="24"/>
      <c r="M125" s="24"/>
      <c r="N125" s="24"/>
      <c r="O125" s="16" t="s">
        <v>421</v>
      </c>
      <c r="P125" s="15"/>
      <c r="Q125" s="1" t="s">
        <v>404</v>
      </c>
      <c r="R125" s="1" t="s">
        <v>404</v>
      </c>
      <c r="S125" s="1" t="s">
        <v>404</v>
      </c>
    </row>
    <row r="126" spans="1:19" x14ac:dyDescent="0.25">
      <c r="A126" s="1" t="s">
        <v>76</v>
      </c>
      <c r="B126" s="1" t="s">
        <v>358</v>
      </c>
      <c r="C126" s="1" t="s">
        <v>359</v>
      </c>
      <c r="D126" s="1" t="s">
        <v>360</v>
      </c>
      <c r="E126">
        <v>50</v>
      </c>
      <c r="F126">
        <v>17049020</v>
      </c>
      <c r="G126">
        <v>50</v>
      </c>
      <c r="H126">
        <v>1</v>
      </c>
      <c r="I126" s="1" t="s">
        <v>114</v>
      </c>
      <c r="J126">
        <v>246</v>
      </c>
      <c r="K126">
        <v>5</v>
      </c>
      <c r="L126" s="24"/>
      <c r="M126" s="24"/>
      <c r="N126" s="24"/>
      <c r="O126" s="16" t="s">
        <v>422</v>
      </c>
      <c r="P126" s="15"/>
      <c r="Q126" s="1" t="s">
        <v>404</v>
      </c>
      <c r="R126" s="1" t="s">
        <v>404</v>
      </c>
      <c r="S126" s="1" t="s">
        <v>404</v>
      </c>
    </row>
    <row r="127" spans="1:19" x14ac:dyDescent="0.25">
      <c r="A127" s="1" t="s">
        <v>77</v>
      </c>
      <c r="B127" s="1" t="s">
        <v>361</v>
      </c>
      <c r="C127" s="1" t="s">
        <v>359</v>
      </c>
      <c r="D127" s="1" t="s">
        <v>362</v>
      </c>
      <c r="E127">
        <v>50</v>
      </c>
      <c r="F127">
        <v>17049020</v>
      </c>
      <c r="G127">
        <v>50</v>
      </c>
      <c r="H127">
        <v>1</v>
      </c>
      <c r="I127" s="1" t="s">
        <v>114</v>
      </c>
      <c r="J127">
        <v>277</v>
      </c>
      <c r="K127">
        <v>6</v>
      </c>
      <c r="L127" s="24"/>
      <c r="M127" s="24"/>
      <c r="N127" s="24"/>
      <c r="O127" s="16" t="s">
        <v>404</v>
      </c>
      <c r="P127" s="15"/>
      <c r="Q127" s="1" t="s">
        <v>114</v>
      </c>
      <c r="R127" s="1" t="s">
        <v>114</v>
      </c>
      <c r="S127" s="1" t="s">
        <v>404</v>
      </c>
    </row>
    <row r="128" spans="1:19" x14ac:dyDescent="0.25">
      <c r="A128" s="1" t="s">
        <v>78</v>
      </c>
      <c r="B128" s="1" t="s">
        <v>363</v>
      </c>
      <c r="C128" s="1" t="s">
        <v>359</v>
      </c>
      <c r="D128" s="1" t="s">
        <v>362</v>
      </c>
      <c r="E128">
        <v>50</v>
      </c>
      <c r="F128">
        <v>17049020</v>
      </c>
      <c r="G128">
        <v>50</v>
      </c>
      <c r="H128">
        <v>1</v>
      </c>
      <c r="I128" s="1" t="s">
        <v>114</v>
      </c>
      <c r="J128">
        <v>289</v>
      </c>
      <c r="K128">
        <v>6</v>
      </c>
      <c r="L128" s="24"/>
      <c r="M128" s="24"/>
      <c r="N128" s="24"/>
      <c r="O128" s="16" t="s">
        <v>404</v>
      </c>
      <c r="P128" s="15"/>
      <c r="Q128" s="1" t="s">
        <v>114</v>
      </c>
      <c r="R128" s="1" t="s">
        <v>404</v>
      </c>
      <c r="S128" s="1" t="s">
        <v>404</v>
      </c>
    </row>
    <row r="129" spans="1:19" x14ac:dyDescent="0.25">
      <c r="A129" s="1" t="s">
        <v>79</v>
      </c>
      <c r="B129" s="1" t="s">
        <v>364</v>
      </c>
      <c r="C129" s="1" t="s">
        <v>359</v>
      </c>
      <c r="D129" s="1" t="s">
        <v>365</v>
      </c>
      <c r="E129">
        <v>100</v>
      </c>
      <c r="F129">
        <v>18069010</v>
      </c>
      <c r="G129">
        <v>100</v>
      </c>
      <c r="H129">
        <v>1</v>
      </c>
      <c r="I129" s="1" t="s">
        <v>114</v>
      </c>
      <c r="J129">
        <v>391</v>
      </c>
      <c r="K129">
        <v>4</v>
      </c>
      <c r="L129" s="24"/>
      <c r="M129" s="24"/>
      <c r="N129" s="24"/>
      <c r="O129" s="16" t="s">
        <v>404</v>
      </c>
      <c r="P129" s="15"/>
      <c r="Q129" s="1" t="s">
        <v>114</v>
      </c>
      <c r="R129" s="1" t="s">
        <v>404</v>
      </c>
      <c r="S129" s="1" t="s">
        <v>404</v>
      </c>
    </row>
    <row r="130" spans="1:19" x14ac:dyDescent="0.25">
      <c r="A130" s="1" t="s">
        <v>366</v>
      </c>
      <c r="B130" s="1" t="s">
        <v>367</v>
      </c>
      <c r="C130" s="1" t="s">
        <v>366</v>
      </c>
      <c r="D130" s="1" t="s">
        <v>404</v>
      </c>
      <c r="I130" s="1" t="s">
        <v>404</v>
      </c>
      <c r="L130" s="24"/>
      <c r="M130" s="24"/>
      <c r="N130" s="24"/>
      <c r="O130" s="16" t="s">
        <v>404</v>
      </c>
      <c r="P130" s="15"/>
      <c r="Q130" s="1" t="s">
        <v>404</v>
      </c>
      <c r="R130" s="1" t="s">
        <v>404</v>
      </c>
      <c r="S130" s="1" t="s">
        <v>404</v>
      </c>
    </row>
    <row r="131" spans="1:19" x14ac:dyDescent="0.25">
      <c r="A131" s="1" t="s">
        <v>80</v>
      </c>
      <c r="B131" s="1" t="s">
        <v>368</v>
      </c>
      <c r="C131" s="1" t="s">
        <v>404</v>
      </c>
      <c r="D131" s="1" t="s">
        <v>404</v>
      </c>
      <c r="E131">
        <v>24</v>
      </c>
      <c r="F131">
        <v>17049020</v>
      </c>
      <c r="G131">
        <v>240</v>
      </c>
      <c r="H131">
        <v>10</v>
      </c>
      <c r="I131" s="1" t="s">
        <v>114</v>
      </c>
      <c r="J131">
        <v>696</v>
      </c>
      <c r="K131">
        <v>29</v>
      </c>
      <c r="L131" s="24"/>
      <c r="M131" s="24"/>
      <c r="N131" s="24"/>
      <c r="O131" s="16" t="s">
        <v>404</v>
      </c>
      <c r="P131" s="15"/>
      <c r="Q131" s="1" t="s">
        <v>404</v>
      </c>
      <c r="R131" s="1" t="s">
        <v>404</v>
      </c>
      <c r="S131" s="1" t="s">
        <v>404</v>
      </c>
    </row>
    <row r="132" spans="1:19" x14ac:dyDescent="0.25">
      <c r="A132" s="1" t="s">
        <v>369</v>
      </c>
      <c r="B132" s="1" t="s">
        <v>370</v>
      </c>
      <c r="C132" s="1" t="s">
        <v>291</v>
      </c>
      <c r="D132" s="1" t="s">
        <v>404</v>
      </c>
      <c r="E132">
        <v>1</v>
      </c>
      <c r="G132">
        <v>40</v>
      </c>
      <c r="H132">
        <v>40</v>
      </c>
      <c r="I132" s="1" t="s">
        <v>404</v>
      </c>
      <c r="K132">
        <v>0</v>
      </c>
      <c r="L132" s="24"/>
      <c r="M132" s="24"/>
      <c r="N132" s="24"/>
      <c r="O132" s="16" t="s">
        <v>404</v>
      </c>
      <c r="P132" s="15"/>
      <c r="Q132" s="1" t="s">
        <v>404</v>
      </c>
      <c r="R132" s="1" t="s">
        <v>404</v>
      </c>
      <c r="S132" s="1" t="s">
        <v>404</v>
      </c>
    </row>
    <row r="133" spans="1:19" x14ac:dyDescent="0.25">
      <c r="A133" s="1" t="s">
        <v>81</v>
      </c>
      <c r="B133" s="1" t="s">
        <v>371</v>
      </c>
      <c r="C133" s="1" t="s">
        <v>359</v>
      </c>
      <c r="D133" s="1" t="s">
        <v>404</v>
      </c>
      <c r="E133">
        <v>50</v>
      </c>
      <c r="F133">
        <v>17049020</v>
      </c>
      <c r="G133">
        <v>100</v>
      </c>
      <c r="H133">
        <v>2</v>
      </c>
      <c r="I133" s="1" t="s">
        <v>114</v>
      </c>
      <c r="J133">
        <v>720</v>
      </c>
      <c r="K133">
        <v>14</v>
      </c>
      <c r="L133" s="24"/>
      <c r="M133" s="24"/>
      <c r="N133" s="24"/>
      <c r="O133" s="16" t="s">
        <v>404</v>
      </c>
      <c r="P133" s="15"/>
      <c r="Q133" s="1" t="s">
        <v>404</v>
      </c>
      <c r="R133" s="1" t="s">
        <v>404</v>
      </c>
      <c r="S133" s="1" t="s">
        <v>404</v>
      </c>
    </row>
    <row r="134" spans="1:19" x14ac:dyDescent="0.25">
      <c r="A134" s="1" t="s">
        <v>82</v>
      </c>
      <c r="B134" s="1" t="s">
        <v>372</v>
      </c>
      <c r="C134" s="1" t="s">
        <v>366</v>
      </c>
      <c r="D134" s="1" t="s">
        <v>404</v>
      </c>
      <c r="E134">
        <v>167</v>
      </c>
      <c r="F134">
        <v>17049020</v>
      </c>
      <c r="G134">
        <v>167</v>
      </c>
      <c r="H134">
        <v>1</v>
      </c>
      <c r="I134" s="1" t="s">
        <v>114</v>
      </c>
      <c r="J134">
        <v>668</v>
      </c>
      <c r="K134">
        <v>4</v>
      </c>
      <c r="L134" s="24"/>
      <c r="M134" s="24"/>
      <c r="N134" s="24"/>
      <c r="O134" s="16" t="s">
        <v>404</v>
      </c>
      <c r="P134" s="15"/>
      <c r="Q134" s="1" t="s">
        <v>404</v>
      </c>
      <c r="R134" s="1" t="s">
        <v>404</v>
      </c>
      <c r="S134" s="1" t="s">
        <v>404</v>
      </c>
    </row>
    <row r="135" spans="1:19" x14ac:dyDescent="0.25">
      <c r="A135" s="1" t="s">
        <v>83</v>
      </c>
      <c r="B135" s="1" t="s">
        <v>373</v>
      </c>
      <c r="C135" s="1" t="s">
        <v>374</v>
      </c>
      <c r="D135" s="1" t="s">
        <v>375</v>
      </c>
      <c r="E135">
        <v>1</v>
      </c>
      <c r="F135">
        <v>20081920</v>
      </c>
      <c r="G135">
        <v>10</v>
      </c>
      <c r="H135">
        <v>10</v>
      </c>
      <c r="I135" s="1" t="s">
        <v>114</v>
      </c>
      <c r="K135">
        <v>0</v>
      </c>
      <c r="L135" s="26" t="s">
        <v>456</v>
      </c>
      <c r="M135" s="26" t="s">
        <v>467</v>
      </c>
      <c r="N135" s="26" t="s">
        <v>468</v>
      </c>
      <c r="O135" s="16" t="s">
        <v>423</v>
      </c>
      <c r="P135" s="15"/>
      <c r="Q135" s="1" t="s">
        <v>114</v>
      </c>
      <c r="R135" s="1" t="s">
        <v>126</v>
      </c>
      <c r="S135" s="1" t="s">
        <v>404</v>
      </c>
    </row>
    <row r="136" spans="1:19" x14ac:dyDescent="0.25">
      <c r="A136" s="1" t="s">
        <v>376</v>
      </c>
      <c r="B136" s="1" t="s">
        <v>377</v>
      </c>
      <c r="C136" s="1" t="s">
        <v>374</v>
      </c>
      <c r="D136" s="1" t="s">
        <v>375</v>
      </c>
      <c r="E136">
        <v>1</v>
      </c>
      <c r="F136">
        <v>20081920</v>
      </c>
      <c r="G136">
        <v>50</v>
      </c>
      <c r="H136">
        <v>50</v>
      </c>
      <c r="I136" s="1" t="s">
        <v>114</v>
      </c>
      <c r="K136">
        <v>0</v>
      </c>
      <c r="L136" s="26" t="s">
        <v>441</v>
      </c>
      <c r="M136" s="26" t="s">
        <v>458</v>
      </c>
      <c r="N136" s="26" t="s">
        <v>448</v>
      </c>
      <c r="O136" s="16" t="s">
        <v>423</v>
      </c>
      <c r="P136" s="15"/>
      <c r="Q136" s="1" t="s">
        <v>114</v>
      </c>
      <c r="R136" s="1" t="s">
        <v>126</v>
      </c>
      <c r="S136" s="1" t="s">
        <v>404</v>
      </c>
    </row>
    <row r="137" spans="1:19" x14ac:dyDescent="0.25">
      <c r="A137" s="1" t="s">
        <v>84</v>
      </c>
      <c r="B137" s="1" t="s">
        <v>378</v>
      </c>
      <c r="C137" s="1" t="s">
        <v>404</v>
      </c>
      <c r="D137" s="1" t="s">
        <v>404</v>
      </c>
      <c r="E137">
        <v>1</v>
      </c>
      <c r="F137">
        <v>20089999</v>
      </c>
      <c r="G137">
        <v>35</v>
      </c>
      <c r="H137">
        <v>35</v>
      </c>
      <c r="I137" s="1" t="s">
        <v>114</v>
      </c>
      <c r="J137">
        <v>100</v>
      </c>
      <c r="K137">
        <v>100</v>
      </c>
      <c r="L137" s="24"/>
      <c r="M137" s="24"/>
      <c r="N137" s="24"/>
      <c r="O137" s="16" t="s">
        <v>404</v>
      </c>
      <c r="P137" s="15"/>
      <c r="Q137" s="1" t="s">
        <v>404</v>
      </c>
      <c r="R137" s="1" t="s">
        <v>404</v>
      </c>
      <c r="S137" s="1" t="s">
        <v>404</v>
      </c>
    </row>
    <row r="138" spans="1:19" x14ac:dyDescent="0.25">
      <c r="A138" s="1" t="s">
        <v>85</v>
      </c>
      <c r="B138" s="1" t="s">
        <v>379</v>
      </c>
      <c r="C138" s="1" t="s">
        <v>380</v>
      </c>
      <c r="D138" s="1" t="s">
        <v>381</v>
      </c>
      <c r="E138">
        <v>30</v>
      </c>
      <c r="F138">
        <v>17049020</v>
      </c>
      <c r="G138">
        <v>150</v>
      </c>
      <c r="H138">
        <v>5</v>
      </c>
      <c r="I138" s="1" t="s">
        <v>114</v>
      </c>
      <c r="J138">
        <v>450</v>
      </c>
      <c r="K138">
        <v>15</v>
      </c>
      <c r="L138" s="24"/>
      <c r="M138" s="24"/>
      <c r="N138" s="24"/>
      <c r="O138" s="16" t="s">
        <v>424</v>
      </c>
      <c r="P138" s="15"/>
      <c r="Q138" s="1" t="s">
        <v>404</v>
      </c>
      <c r="R138" s="1" t="s">
        <v>404</v>
      </c>
      <c r="S138" s="1" t="s">
        <v>404</v>
      </c>
    </row>
    <row r="139" spans="1:19" x14ac:dyDescent="0.25">
      <c r="A139" s="1" t="s">
        <v>86</v>
      </c>
      <c r="B139" s="1" t="s">
        <v>382</v>
      </c>
      <c r="C139" s="1" t="s">
        <v>380</v>
      </c>
      <c r="D139" s="1" t="s">
        <v>381</v>
      </c>
      <c r="E139">
        <v>30</v>
      </c>
      <c r="F139">
        <v>17049020</v>
      </c>
      <c r="G139">
        <v>150</v>
      </c>
      <c r="H139">
        <v>5</v>
      </c>
      <c r="I139" s="1" t="s">
        <v>114</v>
      </c>
      <c r="J139">
        <v>390</v>
      </c>
      <c r="K139">
        <v>13</v>
      </c>
      <c r="L139" s="24"/>
      <c r="M139" s="24"/>
      <c r="N139" s="24"/>
      <c r="O139" s="16" t="s">
        <v>424</v>
      </c>
      <c r="P139" s="15"/>
      <c r="Q139" s="1" t="s">
        <v>404</v>
      </c>
      <c r="R139" s="1" t="s">
        <v>404</v>
      </c>
      <c r="S139" s="1" t="s">
        <v>404</v>
      </c>
    </row>
    <row r="140" spans="1:19" x14ac:dyDescent="0.25">
      <c r="A140" s="1" t="s">
        <v>87</v>
      </c>
      <c r="B140" s="1" t="s">
        <v>383</v>
      </c>
      <c r="C140" s="1" t="s">
        <v>380</v>
      </c>
      <c r="D140" s="1" t="s">
        <v>381</v>
      </c>
      <c r="E140">
        <v>30</v>
      </c>
      <c r="F140">
        <v>17049020</v>
      </c>
      <c r="G140">
        <v>150</v>
      </c>
      <c r="H140">
        <v>5</v>
      </c>
      <c r="I140" s="1" t="s">
        <v>114</v>
      </c>
      <c r="J140">
        <v>450</v>
      </c>
      <c r="K140">
        <v>15</v>
      </c>
      <c r="L140" s="24"/>
      <c r="M140" s="24"/>
      <c r="N140" s="24"/>
      <c r="O140" s="16" t="s">
        <v>424</v>
      </c>
      <c r="P140" s="15"/>
      <c r="Q140" s="1" t="s">
        <v>404</v>
      </c>
      <c r="R140" s="1" t="s">
        <v>404</v>
      </c>
      <c r="S140" s="1" t="s">
        <v>404</v>
      </c>
    </row>
    <row r="141" spans="1:19" x14ac:dyDescent="0.25">
      <c r="A141" s="1" t="s">
        <v>384</v>
      </c>
      <c r="B141" s="1" t="s">
        <v>385</v>
      </c>
      <c r="C141" s="1" t="s">
        <v>380</v>
      </c>
      <c r="D141" s="1" t="s">
        <v>381</v>
      </c>
      <c r="I141" s="1" t="s">
        <v>114</v>
      </c>
      <c r="L141" s="24"/>
      <c r="M141" s="24"/>
      <c r="N141" s="24"/>
      <c r="O141" s="16" t="s">
        <v>424</v>
      </c>
      <c r="P141" s="15"/>
      <c r="Q141" s="1" t="s">
        <v>404</v>
      </c>
      <c r="R141" s="1" t="s">
        <v>404</v>
      </c>
      <c r="S141" s="1" t="s">
        <v>404</v>
      </c>
    </row>
    <row r="142" spans="1:19" x14ac:dyDescent="0.25">
      <c r="A142" s="1" t="s">
        <v>386</v>
      </c>
      <c r="B142" s="1" t="s">
        <v>387</v>
      </c>
      <c r="C142" s="1" t="s">
        <v>380</v>
      </c>
      <c r="D142" s="1" t="s">
        <v>381</v>
      </c>
      <c r="I142" s="1" t="s">
        <v>114</v>
      </c>
      <c r="L142" s="24"/>
      <c r="M142" s="24"/>
      <c r="N142" s="24"/>
      <c r="O142" s="16" t="s">
        <v>424</v>
      </c>
      <c r="P142" s="15"/>
      <c r="Q142" s="1" t="s">
        <v>404</v>
      </c>
      <c r="R142" s="1" t="s">
        <v>404</v>
      </c>
      <c r="S142" s="1" t="s">
        <v>404</v>
      </c>
    </row>
    <row r="143" spans="1:19" x14ac:dyDescent="0.25">
      <c r="A143" s="1" t="s">
        <v>388</v>
      </c>
      <c r="B143" s="1" t="s">
        <v>389</v>
      </c>
      <c r="C143" s="1" t="s">
        <v>390</v>
      </c>
      <c r="D143" s="1" t="s">
        <v>391</v>
      </c>
      <c r="E143">
        <v>10</v>
      </c>
      <c r="H143">
        <v>0</v>
      </c>
      <c r="I143" s="1" t="s">
        <v>114</v>
      </c>
      <c r="J143">
        <v>60</v>
      </c>
      <c r="K143">
        <v>3</v>
      </c>
      <c r="L143" s="24"/>
      <c r="M143" s="24"/>
      <c r="N143" s="24"/>
      <c r="O143" s="16" t="s">
        <v>404</v>
      </c>
      <c r="P143" s="15">
        <v>8906040000000</v>
      </c>
      <c r="Q143" s="1" t="s">
        <v>404</v>
      </c>
      <c r="R143" s="1" t="s">
        <v>404</v>
      </c>
      <c r="S143" s="1" t="s">
        <v>404</v>
      </c>
    </row>
    <row r="144" spans="1:19" x14ac:dyDescent="0.25">
      <c r="A144" s="1" t="s">
        <v>88</v>
      </c>
      <c r="B144" s="1" t="s">
        <v>392</v>
      </c>
      <c r="C144" s="1" t="s">
        <v>374</v>
      </c>
      <c r="D144" s="1" t="s">
        <v>404</v>
      </c>
      <c r="E144">
        <v>220</v>
      </c>
      <c r="F144">
        <v>20081920</v>
      </c>
      <c r="G144">
        <v>220</v>
      </c>
      <c r="H144">
        <v>1</v>
      </c>
      <c r="I144" s="1" t="s">
        <v>114</v>
      </c>
      <c r="K144">
        <v>0</v>
      </c>
      <c r="L144" s="24"/>
      <c r="M144" s="24"/>
      <c r="N144" s="24"/>
      <c r="O144" s="16" t="s">
        <v>404</v>
      </c>
      <c r="P144" s="15"/>
      <c r="Q144" s="1" t="s">
        <v>404</v>
      </c>
      <c r="R144" s="1" t="s">
        <v>404</v>
      </c>
      <c r="S144" s="1" t="s">
        <v>404</v>
      </c>
    </row>
    <row r="145" spans="1:19" x14ac:dyDescent="0.25">
      <c r="A145" s="1" t="s">
        <v>89</v>
      </c>
      <c r="B145" s="1" t="s">
        <v>393</v>
      </c>
      <c r="C145" s="1" t="s">
        <v>319</v>
      </c>
      <c r="D145" s="1" t="s">
        <v>404</v>
      </c>
      <c r="E145">
        <v>1</v>
      </c>
      <c r="F145">
        <v>17049090</v>
      </c>
      <c r="G145">
        <v>30</v>
      </c>
      <c r="H145">
        <v>30</v>
      </c>
      <c r="I145" s="1" t="s">
        <v>114</v>
      </c>
      <c r="J145">
        <v>100</v>
      </c>
      <c r="K145">
        <v>100</v>
      </c>
      <c r="L145" s="24"/>
      <c r="M145" s="24"/>
      <c r="N145" s="24"/>
      <c r="O145" s="16" t="s">
        <v>404</v>
      </c>
      <c r="P145" s="15"/>
      <c r="Q145" s="1" t="s">
        <v>404</v>
      </c>
      <c r="R145" s="1" t="s">
        <v>404</v>
      </c>
      <c r="S145" s="1" t="s">
        <v>404</v>
      </c>
    </row>
    <row r="146" spans="1:19" x14ac:dyDescent="0.25">
      <c r="A146" s="1" t="s">
        <v>90</v>
      </c>
      <c r="B146" s="1" t="s">
        <v>394</v>
      </c>
      <c r="C146" s="1" t="s">
        <v>319</v>
      </c>
      <c r="D146" s="1" t="s">
        <v>404</v>
      </c>
      <c r="E146">
        <v>1</v>
      </c>
      <c r="F146">
        <v>17049090</v>
      </c>
      <c r="G146">
        <v>30</v>
      </c>
      <c r="H146">
        <v>30</v>
      </c>
      <c r="I146" s="1" t="s">
        <v>114</v>
      </c>
      <c r="J146">
        <v>100</v>
      </c>
      <c r="K146">
        <v>100</v>
      </c>
      <c r="L146" s="24"/>
      <c r="M146" s="24"/>
      <c r="N146" s="24"/>
      <c r="O146" s="16" t="s">
        <v>404</v>
      </c>
      <c r="P146" s="15"/>
      <c r="Q146" s="1" t="s">
        <v>404</v>
      </c>
      <c r="R146" s="1" t="s">
        <v>404</v>
      </c>
      <c r="S146" s="1" t="s">
        <v>404</v>
      </c>
    </row>
    <row r="147" spans="1:19" x14ac:dyDescent="0.25">
      <c r="A147" s="1" t="s">
        <v>91</v>
      </c>
      <c r="B147" s="1" t="s">
        <v>395</v>
      </c>
      <c r="C147" s="1" t="s">
        <v>319</v>
      </c>
      <c r="D147" s="1" t="s">
        <v>404</v>
      </c>
      <c r="E147">
        <v>1</v>
      </c>
      <c r="F147">
        <v>17049090</v>
      </c>
      <c r="G147">
        <v>30</v>
      </c>
      <c r="H147">
        <v>30</v>
      </c>
      <c r="I147" s="1" t="s">
        <v>114</v>
      </c>
      <c r="J147">
        <v>100</v>
      </c>
      <c r="K147">
        <v>100</v>
      </c>
      <c r="L147" s="24"/>
      <c r="M147" s="24"/>
      <c r="N147" s="24"/>
      <c r="O147" s="16" t="s">
        <v>404</v>
      </c>
      <c r="P147" s="15"/>
      <c r="Q147" s="1" t="s">
        <v>404</v>
      </c>
      <c r="R147" s="1" t="s">
        <v>404</v>
      </c>
      <c r="S147" s="1" t="s">
        <v>404</v>
      </c>
    </row>
    <row r="148" spans="1:19" x14ac:dyDescent="0.25">
      <c r="A148" s="1" t="s">
        <v>92</v>
      </c>
      <c r="B148" s="1" t="s">
        <v>396</v>
      </c>
      <c r="C148" s="1" t="s">
        <v>140</v>
      </c>
      <c r="D148" s="1" t="s">
        <v>404</v>
      </c>
      <c r="E148">
        <v>1</v>
      </c>
      <c r="F148">
        <v>10063010</v>
      </c>
      <c r="G148">
        <v>5</v>
      </c>
      <c r="H148">
        <v>5</v>
      </c>
      <c r="I148" s="1" t="s">
        <v>114</v>
      </c>
      <c r="K148">
        <v>0</v>
      </c>
      <c r="L148" s="26" t="s">
        <v>449</v>
      </c>
      <c r="M148" s="26" t="s">
        <v>469</v>
      </c>
      <c r="N148" s="27" t="s">
        <v>447</v>
      </c>
      <c r="O148" s="16" t="s">
        <v>404</v>
      </c>
      <c r="P148" s="15"/>
      <c r="Q148" s="1" t="s">
        <v>404</v>
      </c>
      <c r="R148" s="1" t="s">
        <v>404</v>
      </c>
      <c r="S148" s="1" t="s">
        <v>404</v>
      </c>
    </row>
    <row r="149" spans="1:19" x14ac:dyDescent="0.25">
      <c r="A149" s="1" t="s">
        <v>93</v>
      </c>
      <c r="B149" s="1" t="s">
        <v>397</v>
      </c>
      <c r="C149" s="1" t="s">
        <v>93</v>
      </c>
      <c r="D149" s="1" t="s">
        <v>404</v>
      </c>
      <c r="E149">
        <v>24</v>
      </c>
      <c r="F149">
        <v>17049090</v>
      </c>
      <c r="G149">
        <v>240</v>
      </c>
      <c r="H149">
        <v>10</v>
      </c>
      <c r="I149" s="1" t="s">
        <v>114</v>
      </c>
      <c r="J149">
        <v>173</v>
      </c>
      <c r="K149">
        <v>7</v>
      </c>
      <c r="L149" s="24">
        <v>50</v>
      </c>
      <c r="M149" s="24">
        <v>30</v>
      </c>
      <c r="N149" s="24">
        <v>13</v>
      </c>
      <c r="O149" s="16" t="s">
        <v>404</v>
      </c>
      <c r="P149" s="15"/>
      <c r="Q149" s="1" t="s">
        <v>114</v>
      </c>
      <c r="R149" s="1" t="s">
        <v>114</v>
      </c>
      <c r="S149" s="1" t="s">
        <v>404</v>
      </c>
    </row>
    <row r="150" spans="1:19" x14ac:dyDescent="0.25">
      <c r="A150" s="1" t="s">
        <v>398</v>
      </c>
      <c r="B150" s="1" t="s">
        <v>399</v>
      </c>
      <c r="C150" s="1" t="s">
        <v>390</v>
      </c>
      <c r="D150" s="1" t="s">
        <v>391</v>
      </c>
      <c r="I150" s="1" t="s">
        <v>114</v>
      </c>
      <c r="L150" s="24"/>
      <c r="M150" s="24"/>
      <c r="N150" s="24"/>
      <c r="O150" s="16" t="s">
        <v>404</v>
      </c>
      <c r="P150" s="15">
        <v>8906040000000</v>
      </c>
      <c r="Q150" s="1" t="s">
        <v>404</v>
      </c>
      <c r="R150" s="1" t="s">
        <v>404</v>
      </c>
      <c r="S150" s="1" t="s">
        <v>404</v>
      </c>
    </row>
    <row r="151" spans="1:19" x14ac:dyDescent="0.25">
      <c r="A151" s="1" t="s">
        <v>94</v>
      </c>
      <c r="B151" s="1" t="s">
        <v>400</v>
      </c>
      <c r="C151" s="1" t="s">
        <v>401</v>
      </c>
      <c r="D151" s="1" t="s">
        <v>149</v>
      </c>
      <c r="E151">
        <v>32</v>
      </c>
      <c r="F151">
        <v>17041000</v>
      </c>
      <c r="G151">
        <v>160</v>
      </c>
      <c r="H151">
        <v>5</v>
      </c>
      <c r="I151" s="1" t="s">
        <v>114</v>
      </c>
      <c r="J151">
        <v>141</v>
      </c>
      <c r="K151">
        <v>4</v>
      </c>
      <c r="L151" s="24"/>
      <c r="M151" s="24"/>
      <c r="N151" s="24"/>
      <c r="O151" s="16" t="s">
        <v>404</v>
      </c>
      <c r="P151" s="15"/>
      <c r="Q151" s="1" t="s">
        <v>114</v>
      </c>
      <c r="R151" s="1" t="s">
        <v>126</v>
      </c>
      <c r="S151" s="1" t="s">
        <v>404</v>
      </c>
    </row>
  </sheetData>
  <dataValidations count="1">
    <dataValidation type="list" allowBlank="1" showErrorMessage="1" sqref="P131:P151 P120:P129 Q2:S151" xr:uid="{61C23130-FC4F-4B79-9220-B0C7D26BAFB4}">
      <formula1>"Yes,No"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F82E9785-6AA5-4EC5-8FC5-9A97724A2472}">
  <ds:schemaRefs>
    <ds:schemaRef ds:uri="http://gemini/pivotcustomization/TableWidget"/>
  </ds:schemaRefs>
</ds:datastoreItem>
</file>

<file path=customXml/itemProps2.xml><?xml version="1.0" encoding="utf-8"?>
<ds:datastoreItem xmlns:ds="http://schemas.openxmlformats.org/officeDocument/2006/customXml" ds:itemID="{130CE511-0E9F-4C0D-B12F-0F953BAF42FF}">
  <ds:schemaRefs>
    <ds:schemaRef ds:uri="http://gemini/pivotcustomization/FormulaBarState"/>
  </ds:schemaRefs>
</ds:datastoreItem>
</file>

<file path=customXml/itemProps3.xml><?xml version="1.0" encoding="utf-8"?>
<ds:datastoreItem xmlns:ds="http://schemas.openxmlformats.org/officeDocument/2006/customXml" ds:itemID="{5049E609-B8C4-4F0D-84E4-7DB5DBDADFC4}">
  <ds:schemaRefs>
    <ds:schemaRef ds:uri="http://gemini/pivotcustomization/TableXML_Table2"/>
  </ds:schemaRefs>
</ds:datastoreItem>
</file>

<file path=customXml/itemProps4.xml><?xml version="1.0" encoding="utf-8"?>
<ds:datastoreItem xmlns:ds="http://schemas.openxmlformats.org/officeDocument/2006/customXml" ds:itemID="{28C78B35-35B6-415C-95F6-DA35D88F4D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Order Sheets</vt:lpstr>
      <vt:lpstr>Main Products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Sunny</dc:creator>
  <cp:keywords/>
  <dc:description/>
  <cp:lastModifiedBy>Sunny</cp:lastModifiedBy>
  <cp:revision/>
  <cp:lastPrinted>2022-10-25T15:02:04Z</cp:lastPrinted>
  <dcterms:created xsi:type="dcterms:W3CDTF">2015-06-05T18:17:20Z</dcterms:created>
  <dcterms:modified xsi:type="dcterms:W3CDTF">2022-11-10T18:53:42Z</dcterms:modified>
  <cp:category/>
  <cp:contentStatus/>
</cp:coreProperties>
</file>